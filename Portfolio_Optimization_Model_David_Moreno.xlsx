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r900\Downloads\"/>
    </mc:Choice>
  </mc:AlternateContent>
  <xr:revisionPtr revIDLastSave="0" documentId="13_ncr:1_{8248F482-7CD7-44BE-8473-E5FB5554C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DIMIENTO RIESGO" sheetId="1" r:id="rId1"/>
    <sheet name="datos historicos" sheetId="2" r:id="rId2"/>
  </sheets>
  <definedNames>
    <definedName name="solver_adj" localSheetId="0" hidden="1">'RENDIMIENTO RIESGO'!$B$11:$F$11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'RENDIMIENTO RIESGO'!$B$11:$F$11</definedName>
    <definedName name="solver_lhs2" localSheetId="0" hidden="1">'RENDIMIENTO RIESGO'!$C$28</definedName>
    <definedName name="solver_lhs3" localSheetId="0" hidden="1">'RENDIMIENTO RIESGO'!$H$11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'RENDIMIENTO RIESGO'!$G$15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hs1" localSheetId="0" hidden="1">0</definedName>
    <definedName name="solver_rhs2" localSheetId="0" hidden="1">30%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C19" i="1"/>
  <c r="G15" i="1"/>
  <c r="K7" i="1"/>
  <c r="J7" i="1"/>
  <c r="I7" i="1"/>
  <c r="K3" i="1"/>
  <c r="J3" i="1"/>
  <c r="I3" i="1"/>
  <c r="E7" i="1"/>
  <c r="D7" i="1"/>
  <c r="C7" i="1"/>
  <c r="B7" i="1"/>
  <c r="D3" i="1"/>
  <c r="C3" i="1"/>
  <c r="B3" i="1"/>
  <c r="N7" i="1"/>
  <c r="N3" i="1"/>
  <c r="F247" i="2"/>
  <c r="F248" i="2"/>
  <c r="F249" i="2"/>
  <c r="F250" i="2"/>
  <c r="F251" i="2"/>
  <c r="F252" i="2"/>
  <c r="F253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G24" i="1"/>
  <c r="G23" i="1"/>
  <c r="G22" i="1"/>
  <c r="G21" i="1"/>
  <c r="G20" i="1"/>
  <c r="G19" i="1"/>
  <c r="G7" i="1"/>
  <c r="G3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4" i="2"/>
  <c r="G18" i="1"/>
  <c r="F18" i="1"/>
  <c r="E18" i="1"/>
  <c r="D18" i="1"/>
  <c r="C18" i="1"/>
  <c r="B18" i="1"/>
  <c r="I24" i="1"/>
  <c r="I23" i="1"/>
  <c r="I22" i="1"/>
  <c r="I21" i="1"/>
  <c r="I20" i="1"/>
  <c r="I19" i="1"/>
  <c r="H11" i="1"/>
  <c r="O4" i="2"/>
  <c r="L4" i="2"/>
  <c r="I4" i="2"/>
  <c r="F4" i="2"/>
  <c r="C4" i="2"/>
  <c r="M3" i="1" l="1"/>
  <c r="M7" i="1" s="1"/>
  <c r="L3" i="1"/>
  <c r="E22" i="1" s="1"/>
  <c r="D19" i="1"/>
  <c r="B21" i="1" s="1"/>
  <c r="F3" i="1"/>
  <c r="F7" i="1" s="1"/>
  <c r="F23" i="1"/>
  <c r="E23" i="1"/>
  <c r="E3" i="1"/>
  <c r="E20" i="1"/>
  <c r="C22" i="1" s="1"/>
  <c r="D21" i="1"/>
  <c r="E21" i="1"/>
  <c r="D22" i="1" s="1"/>
  <c r="D23" i="1"/>
  <c r="C23" i="1"/>
  <c r="D20" i="1"/>
  <c r="C21" i="1" s="1"/>
  <c r="E19" i="1"/>
  <c r="B22" i="1" s="1"/>
  <c r="B23" i="1"/>
  <c r="F24" i="1"/>
  <c r="B24" i="1"/>
  <c r="C24" i="1"/>
  <c r="D24" i="1"/>
  <c r="E24" i="1"/>
  <c r="B20" i="1" l="1"/>
  <c r="L7" i="1"/>
  <c r="G13" i="1"/>
  <c r="C20" i="1"/>
  <c r="B19" i="1"/>
  <c r="C26" i="1" l="1" a="1"/>
  <c r="C26" i="1" s="1"/>
  <c r="C27" i="1" s="1"/>
  <c r="C2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<sst xmlns="http://schemas.openxmlformats.org/spreadsheetml/2006/main" count="68" uniqueCount="28">
  <si>
    <t xml:space="preserve">RENDIMIENTO DIARIO ESPERADO POR ACCION </t>
  </si>
  <si>
    <t xml:space="preserve">RIESGO DIARIO ESPERADO POR ACCION </t>
  </si>
  <si>
    <t xml:space="preserve">RENDIMIENTO ANUAL ESPERADO POR ACCION </t>
  </si>
  <si>
    <t xml:space="preserve">RIESGO ANUAL ESPERADO POR ACCION </t>
  </si>
  <si>
    <t>PARTICIPACIÓN DE PORTAFOLIO</t>
  </si>
  <si>
    <t>Riesgo Anual del Portafolio</t>
  </si>
  <si>
    <t>Rendimiento Anual del Portafolio</t>
  </si>
  <si>
    <t>TOTAL</t>
  </si>
  <si>
    <t>RENDIMIENTO DIARIO ESPERADO EN EL PORTAFOLIO</t>
  </si>
  <si>
    <t xml:space="preserve">RENDIMIENTO ANUAL ESPERADO EN EL PORTAFOLIO </t>
  </si>
  <si>
    <t xml:space="preserve">MATRIZ DE COVARIANZA </t>
  </si>
  <si>
    <t>Varianza del portafolio</t>
  </si>
  <si>
    <t>Riesgo diario esperado del portafolio</t>
  </si>
  <si>
    <t>Riesgo anual esperado del portafolio</t>
  </si>
  <si>
    <t>Fecha</t>
  </si>
  <si>
    <t>Cierre</t>
  </si>
  <si>
    <t>WALMART</t>
  </si>
  <si>
    <t>Rendimiento</t>
  </si>
  <si>
    <t>X1</t>
  </si>
  <si>
    <t>X2</t>
  </si>
  <si>
    <t>X3</t>
  </si>
  <si>
    <t>X4</t>
  </si>
  <si>
    <t>X5</t>
  </si>
  <si>
    <t>X6</t>
  </si>
  <si>
    <t>AMAZON</t>
  </si>
  <si>
    <t>DISNEY</t>
  </si>
  <si>
    <t>STARBUCKS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</si>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</sst>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%"/>
    <numFmt numFmtId="165" formatCode="0.00000%"/>
    <numFmt numFmtId="166" formatCode="0.000000%"/>
    <numFmt numFmtId="167" formatCode="0.00000000%"/>
    <numFmt numFmtId="169" formatCode="_-* #,##0.0000000_-;\-* #,##0.0000000_-;_-* &quot;-&quot;??_-;_-@"/>
    <numFmt numFmtId="170" formatCode="&quot;$&quot;#,##0.00"/>
    <numFmt numFmtId="173" formatCode="0.000%"/>
  </numFmts>
  <fonts count="10" x14ac:knownFonts="1">
    <font>
      <sz val="11"/>
      <color theme="1"/>
      <name val="Aptos Narrow"/>
      <scheme val="minor"/>
    </font>
    <font>
      <b/>
      <sz val="12"/>
      <color theme="0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D76D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8ED873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/>
    <xf numFmtId="164" fontId="5" fillId="0" borderId="4" xfId="0" applyNumberFormat="1" applyFont="1" applyBorder="1"/>
    <xf numFmtId="166" fontId="5" fillId="0" borderId="4" xfId="0" applyNumberFormat="1" applyFont="1" applyBorder="1"/>
    <xf numFmtId="9" fontId="5" fillId="0" borderId="0" xfId="0" applyNumberFormat="1" applyFont="1"/>
    <xf numFmtId="0" fontId="3" fillId="0" borderId="4" xfId="0" applyFont="1" applyBorder="1" applyAlignment="1">
      <alignment horizontal="center"/>
    </xf>
    <xf numFmtId="9" fontId="5" fillId="0" borderId="4" xfId="0" applyNumberFormat="1" applyFont="1" applyBorder="1"/>
    <xf numFmtId="167" fontId="5" fillId="0" borderId="4" xfId="0" applyNumberFormat="1" applyFont="1" applyBorder="1"/>
    <xf numFmtId="169" fontId="5" fillId="3" borderId="4" xfId="0" applyNumberFormat="1" applyFont="1" applyFill="1" applyBorder="1"/>
    <xf numFmtId="0" fontId="5" fillId="0" borderId="4" xfId="0" applyFont="1" applyBorder="1"/>
    <xf numFmtId="0" fontId="5" fillId="4" borderId="4" xfId="0" applyFont="1" applyFill="1" applyBorder="1"/>
    <xf numFmtId="0" fontId="5" fillId="3" borderId="4" xfId="0" applyFont="1" applyFill="1" applyBorder="1"/>
    <xf numFmtId="0" fontId="1" fillId="2" borderId="5" xfId="0" applyFont="1" applyFill="1" applyBorder="1"/>
    <xf numFmtId="166" fontId="5" fillId="0" borderId="6" xfId="0" applyNumberFormat="1" applyFont="1" applyBorder="1"/>
    <xf numFmtId="0" fontId="1" fillId="2" borderId="7" xfId="0" applyFont="1" applyFill="1" applyBorder="1"/>
    <xf numFmtId="166" fontId="5" fillId="0" borderId="8" xfId="0" applyNumberFormat="1" applyFont="1" applyBorder="1"/>
    <xf numFmtId="0" fontId="1" fillId="2" borderId="9" xfId="0" applyFont="1" applyFill="1" applyBorder="1"/>
    <xf numFmtId="166" fontId="5" fillId="0" borderId="10" xfId="0" applyNumberFormat="1" applyFont="1" applyBorder="1"/>
    <xf numFmtId="0" fontId="8" fillId="0" borderId="11" xfId="0" applyFont="1" applyBorder="1" applyAlignment="1">
      <alignment horizontal="center"/>
    </xf>
    <xf numFmtId="0" fontId="7" fillId="0" borderId="12" xfId="0" applyFont="1" applyBorder="1"/>
    <xf numFmtId="170" fontId="0" fillId="0" borderId="0" xfId="0" applyNumberFormat="1"/>
    <xf numFmtId="14" fontId="9" fillId="0" borderId="0" xfId="0" applyNumberFormat="1" applyFont="1"/>
    <xf numFmtId="0" fontId="7" fillId="0" borderId="13" xfId="0" applyFont="1" applyBorder="1"/>
    <xf numFmtId="14" fontId="9" fillId="0" borderId="14" xfId="0" applyNumberFormat="1" applyFont="1" applyBorder="1"/>
    <xf numFmtId="0" fontId="0" fillId="0" borderId="14" xfId="0" applyBorder="1"/>
    <xf numFmtId="10" fontId="0" fillId="0" borderId="0" xfId="1" applyNumberFormat="1" applyFont="1"/>
    <xf numFmtId="0" fontId="8" fillId="0" borderId="0" xfId="0" applyFont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6" borderId="3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2" fillId="8" borderId="2" xfId="0" applyFont="1" applyFill="1" applyBorder="1"/>
    <xf numFmtId="0" fontId="2" fillId="8" borderId="3" xfId="0" applyFont="1" applyFill="1" applyBorder="1"/>
    <xf numFmtId="0" fontId="8" fillId="0" borderId="11" xfId="0" applyFont="1" applyBorder="1" applyAlignment="1">
      <alignment horizontal="center"/>
    </xf>
    <xf numFmtId="173" fontId="5" fillId="0" borderId="4" xfId="0" applyNumberFormat="1" applyFont="1" applyBorder="1"/>
    <xf numFmtId="10" fontId="5" fillId="0" borderId="4" xfId="0" applyNumberFormat="1" applyFont="1" applyBorder="1"/>
    <xf numFmtId="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'RENDIMIENTO RIESGO'!$K$9</c:f>
              <c:strCache>
                <c:ptCount val="1"/>
                <c:pt idx="0">
                  <c:v>Riesgo Anual del Portafolio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'RENDIMIENTO RIESGO'!$L$10:$L$24</c:f>
              <c:numCache>
                <c:formatCode>0.00%</c:formatCode>
                <c:ptCount val="15"/>
                <c:pt idx="0">
                  <c:v>0.31729722695744245</c:v>
                </c:pt>
                <c:pt idx="1">
                  <c:v>0.36758582588105876</c:v>
                </c:pt>
                <c:pt idx="2">
                  <c:v>0.41020000000000001</c:v>
                </c:pt>
                <c:pt idx="3">
                  <c:v>0.44825033084022037</c:v>
                </c:pt>
                <c:pt idx="4">
                  <c:v>0.48314311952108685</c:v>
                </c:pt>
                <c:pt idx="5">
                  <c:v>0.50853414414502596</c:v>
                </c:pt>
                <c:pt idx="6">
                  <c:v>0.52823233008115156</c:v>
                </c:pt>
                <c:pt idx="7">
                  <c:v>0.5444430966219943</c:v>
                </c:pt>
                <c:pt idx="8">
                  <c:v>0.55684440151480452</c:v>
                </c:pt>
                <c:pt idx="9">
                  <c:v>0.56735317674595465</c:v>
                </c:pt>
                <c:pt idx="10">
                  <c:v>0.57675541001367425</c:v>
                </c:pt>
                <c:pt idx="11">
                  <c:v>0.58541931202943509</c:v>
                </c:pt>
                <c:pt idx="12">
                  <c:v>0.58645929653717543</c:v>
                </c:pt>
                <c:pt idx="13">
                  <c:v>0.58645929653717543</c:v>
                </c:pt>
                <c:pt idx="14">
                  <c:v>0.58645929653717543</c:v>
                </c:pt>
              </c:numCache>
            </c:numRef>
          </c:xVal>
          <c:yVal>
            <c:numRef>
              <c:f>'RENDIMIENTO RIESGO'!$K$10:$K$24</c:f>
              <c:numCache>
                <c:formatCode>0%</c:formatCode>
                <c:ptCount val="15"/>
                <c:pt idx="0">
                  <c:v>0.17</c:v>
                </c:pt>
                <c:pt idx="1">
                  <c:v>0.18</c:v>
                </c:pt>
                <c:pt idx="2">
                  <c:v>0.19</c:v>
                </c:pt>
                <c:pt idx="3">
                  <c:v>0.2</c:v>
                </c:pt>
                <c:pt idx="4">
                  <c:v>0.21</c:v>
                </c:pt>
                <c:pt idx="5">
                  <c:v>0.22</c:v>
                </c:pt>
                <c:pt idx="6">
                  <c:v>0.23</c:v>
                </c:pt>
                <c:pt idx="7">
                  <c:v>0.24</c:v>
                </c:pt>
                <c:pt idx="8">
                  <c:v>0.25</c:v>
                </c:pt>
                <c:pt idx="9">
                  <c:v>0.26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0.28999999999999998</c:v>
                </c:pt>
                <c:pt idx="13">
                  <c:v>0.3</c:v>
                </c:pt>
                <c:pt idx="14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E-4BD7-956F-83C588DD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03536"/>
        <c:axId val="6771013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'RENDIMIENTO RIESGO'!$L$9</c15:sqref>
                        </c15:formulaRef>
                      </c:ext>
                    </c:extLst>
                    <c:strCache>
                      <c:ptCount val="1"/>
                      <c:pt idx="0">
                        <c:v>Rendimiento Anual del Portafolio</c:v>
                      </c:pt>
                    </c:strCache>
                  </c:strRef>
                </c:tx>
                <c:spPr>
                  <a:ln w="25400" cap="rnd">
                    <a:noFill/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'RENDIMIENTO RIESGO'!$L$10:$L$24</c15:sqref>
                        </c15:formulaRef>
                      </c:ext>
                    </c:extLst>
                    <c:numCache>
                      <c:formatCode>0.00%</c:formatCode>
                      <c:ptCount val="15"/>
                      <c:pt idx="0">
                        <c:v>0.31729722695744245</c:v>
                      </c:pt>
                      <c:pt idx="1">
                        <c:v>0.36758582588105876</c:v>
                      </c:pt>
                      <c:pt idx="2">
                        <c:v>0.41020000000000001</c:v>
                      </c:pt>
                      <c:pt idx="3">
                        <c:v>0.44825033084022037</c:v>
                      </c:pt>
                      <c:pt idx="4">
                        <c:v>0.48314311952108685</c:v>
                      </c:pt>
                      <c:pt idx="5">
                        <c:v>0.50853414414502596</c:v>
                      </c:pt>
                      <c:pt idx="6">
                        <c:v>0.52823233008115156</c:v>
                      </c:pt>
                      <c:pt idx="7">
                        <c:v>0.5444430966219943</c:v>
                      </c:pt>
                      <c:pt idx="8">
                        <c:v>0.55684440151480452</c:v>
                      </c:pt>
                      <c:pt idx="9">
                        <c:v>0.56735317674595465</c:v>
                      </c:pt>
                      <c:pt idx="10">
                        <c:v>0.57675541001367425</c:v>
                      </c:pt>
                      <c:pt idx="11">
                        <c:v>0.58541931202943509</c:v>
                      </c:pt>
                      <c:pt idx="12">
                        <c:v>0.58645929653717543</c:v>
                      </c:pt>
                      <c:pt idx="13">
                        <c:v>0.58645929653717543</c:v>
                      </c:pt>
                      <c:pt idx="14">
                        <c:v>0.58645929653717543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'RENDIMIENTO RIESGO'!$L$10:$L$24</c15:sqref>
                        </c15:formulaRef>
                      </c:ext>
                    </c:extLst>
                    <c:numCache>
                      <c:formatCode>0.00%</c:formatCode>
                      <c:ptCount val="15"/>
                      <c:pt idx="0">
                        <c:v>0.31729722695744245</c:v>
                      </c:pt>
                      <c:pt idx="1">
                        <c:v>0.36758582588105876</c:v>
                      </c:pt>
                      <c:pt idx="2">
                        <c:v>0.41020000000000001</c:v>
                      </c:pt>
                      <c:pt idx="3">
                        <c:v>0.44825033084022037</c:v>
                      </c:pt>
                      <c:pt idx="4">
                        <c:v>0.48314311952108685</c:v>
                      </c:pt>
                      <c:pt idx="5">
                        <c:v>0.50853414414502596</c:v>
                      </c:pt>
                      <c:pt idx="6">
                        <c:v>0.52823233008115156</c:v>
                      </c:pt>
                      <c:pt idx="7">
                        <c:v>0.5444430966219943</c:v>
                      </c:pt>
                      <c:pt idx="8">
                        <c:v>0.55684440151480452</c:v>
                      </c:pt>
                      <c:pt idx="9">
                        <c:v>0.56735317674595465</c:v>
                      </c:pt>
                      <c:pt idx="10">
                        <c:v>0.57675541001367425</c:v>
                      </c:pt>
                      <c:pt idx="11">
                        <c:v>0.58541931202943509</c:v>
                      </c:pt>
                      <c:pt idx="12">
                        <c:v>0.58645929653717543</c:v>
                      </c:pt>
                      <c:pt idx="13">
                        <c:v>0.58645929653717543</c:v>
                      </c:pt>
                      <c:pt idx="14">
                        <c:v>0.58645929653717543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11E-4BD7-956F-83C588DDC252}"/>
                  </c:ext>
                </c:extLst>
              </c15:ser>
            </c15:filteredScatterSeries>
          </c:ext>
        </c:extLst>
      </c:scatterChart>
      <c:valAx>
        <c:axId val="677103536"/>
        <c:scaling>
          <c:orientation val="minMax"/>
          <c:max val="0.60000000000000009"/>
          <c:min val="0.30000000000000004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101376"/>
        <c:crosses val="autoZero"/>
        <c:crossBetween val="midCat"/>
      </c:valAx>
      <c:valAx>
        <c:axId val="677101376"/>
        <c:scaling>
          <c:orientation val="minMax"/>
          <c:max val="0.35000000000000003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10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198120</xdr:colOff>
      <xdr:row>7</xdr:row>
      <xdr:rowOff>148590</xdr:rowOff>
    </xdr:from>
    <xdr:to>
      <xdr:col>17</xdr:col>
      <xdr:colOff>609600</xdr:colOff>
      <xdr:row>23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4261C2-D8B2-6616-0D73-BF1197A77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H1" workbookViewId="0">
      <selection activeCell="U18" sqref="U18"/>
    </sheetView>
  </sheetViews>
  <sheetFormatPr baseColWidth="10" defaultColWidth="12.6640625" defaultRowHeight="15" customHeight="1" x14ac:dyDescent="0.3"/>
  <cols>
    <col min="1" max="1" width="5.44140625" customWidth="1"/>
    <col min="2" max="2" width="35" customWidth="1"/>
    <col min="3" max="3" width="12.6640625" bestFit="1" customWidth="1"/>
    <col min="4" max="4" width="10.33203125" customWidth="1"/>
    <col min="5" max="5" width="14.44140625" bestFit="1" customWidth="1"/>
    <col min="6" max="6" width="17.44140625" customWidth="1"/>
    <col min="7" max="7" width="13.44140625" customWidth="1"/>
    <col min="8" max="8" width="6.109375" customWidth="1"/>
    <col min="9" max="9" width="17.44140625" customWidth="1"/>
    <col min="10" max="11" width="11.109375" bestFit="1" customWidth="1"/>
    <col min="12" max="12" width="13.5546875" bestFit="1" customWidth="1"/>
    <col min="13" max="13" width="17.44140625" customWidth="1"/>
    <col min="14" max="14" width="11.21875" customWidth="1"/>
    <col min="15" max="26" width="10.6640625" customWidth="1"/>
  </cols>
  <sheetData>
    <row r="1" spans="2:14" ht="14.25" customHeight="1" x14ac:dyDescent="0.3">
      <c r="B1" s="32" t="s">
        <v>0</v>
      </c>
      <c r="C1" s="33"/>
      <c r="D1" s="33"/>
      <c r="E1" s="33"/>
      <c r="F1" s="33"/>
      <c r="G1" s="34"/>
      <c r="H1" s="1"/>
      <c r="I1" s="35" t="s">
        <v>1</v>
      </c>
      <c r="J1" s="36"/>
      <c r="K1" s="36"/>
      <c r="L1" s="36"/>
      <c r="M1" s="36"/>
      <c r="N1" s="37"/>
    </row>
    <row r="2" spans="2:14" ht="14.25" customHeight="1" x14ac:dyDescent="0.3">
      <c r="B2" s="2" t="s">
        <v>16</v>
      </c>
      <c r="C2" s="2" t="s">
        <v>24</v>
      </c>
      <c r="D2" s="2" t="s">
        <v>25</v>
      </c>
      <c r="E2" s="2" t="s">
        <v>26</v>
      </c>
      <c r="F2" s="2" t="s">
        <v>27</v>
      </c>
      <c r="G2" s="2"/>
      <c r="H2" s="1"/>
      <c r="I2" s="2" t="s">
        <v>16</v>
      </c>
      <c r="J2" s="2" t="s">
        <v>24</v>
      </c>
      <c r="K2" s="2" t="s">
        <v>25</v>
      </c>
      <c r="L2" s="2" t="s">
        <v>26</v>
      </c>
      <c r="M2" s="2" t="s">
        <v>27</v>
      </c>
      <c r="N2" s="2"/>
    </row>
    <row r="3" spans="2:14" ht="14.25" customHeight="1" x14ac:dyDescent="0.3">
      <c r="B3" s="3">
        <f>AVERAGE('datos historicos'!C4:C253)</f>
        <v>-1.0680803412119325E-3</v>
      </c>
      <c r="C3" s="3">
        <f>AVERAGE('datos historicos'!F4:F253)</f>
        <v>2.3458371864239279E-3</v>
      </c>
      <c r="D3" s="3">
        <f>AVERAGE('datos historicos'!I4:I253)</f>
        <v>1.6334829014488974E-3</v>
      </c>
      <c r="E3" s="3">
        <f>AVERAGE('datos historicos'!L4:L254)</f>
        <v>7.1415351358876649E-4</v>
      </c>
      <c r="F3" s="3">
        <f>AVERAGE('datos historicos'!O4:O253)</f>
        <v>-5.5137603374108167E-4</v>
      </c>
      <c r="G3" s="3" t="str">
        <f>IF(G2="","",(AVERAGE('datos historicos'!R4:R254)))</f>
        <v/>
      </c>
      <c r="I3" s="4">
        <f>_xlfn.STDEV.S('datos historicos'!C4:C253)</f>
        <v>1.640963630819001E-2</v>
      </c>
      <c r="J3" s="4">
        <f>_xlfn.STDEV.S('datos historicos'!F4:F253)</f>
        <v>1.7787626241754805E-2</v>
      </c>
      <c r="K3" s="4">
        <f>_xlfn.STDEV.S('datos historicos'!I4:I253)</f>
        <v>1.8261225966970732E-2</v>
      </c>
      <c r="L3" s="4">
        <f>_xlfn.STDEV.S('datos historicos'!L4:L254)</f>
        <v>2.4643762377426284E-2</v>
      </c>
      <c r="M3" s="4">
        <f>_xlfn.STDEV.S('datos historicos'!O4:O253)</f>
        <v>2.258256238639033E-2</v>
      </c>
      <c r="N3" s="4" t="str">
        <f>IF(N2="","",(_xlfn.STDEV.S('datos historicos'!R4:R254)))</f>
        <v/>
      </c>
    </row>
    <row r="4" spans="2:14" ht="14.25" customHeight="1" x14ac:dyDescent="0.3"/>
    <row r="5" spans="2:14" ht="14.25" customHeight="1" x14ac:dyDescent="0.3">
      <c r="B5" s="32" t="s">
        <v>2</v>
      </c>
      <c r="C5" s="33"/>
      <c r="D5" s="33"/>
      <c r="E5" s="33"/>
      <c r="F5" s="33"/>
      <c r="G5" s="34"/>
      <c r="I5" s="35" t="s">
        <v>3</v>
      </c>
      <c r="J5" s="36"/>
      <c r="K5" s="36"/>
      <c r="L5" s="36"/>
      <c r="M5" s="36"/>
      <c r="N5" s="37"/>
    </row>
    <row r="6" spans="2:14" ht="14.25" customHeight="1" x14ac:dyDescent="0.3">
      <c r="B6" s="2" t="s">
        <v>16</v>
      </c>
      <c r="C6" s="2" t="s">
        <v>24</v>
      </c>
      <c r="D6" s="2" t="s">
        <v>25</v>
      </c>
      <c r="E6" s="2" t="s">
        <v>26</v>
      </c>
      <c r="F6" s="2" t="s">
        <v>27</v>
      </c>
      <c r="G6" s="2"/>
      <c r="I6" s="2" t="s">
        <v>16</v>
      </c>
      <c r="J6" s="2" t="s">
        <v>24</v>
      </c>
      <c r="K6" s="2" t="s">
        <v>25</v>
      </c>
      <c r="L6" s="2" t="s">
        <v>26</v>
      </c>
      <c r="M6" s="2" t="s">
        <v>27</v>
      </c>
      <c r="N6" s="2"/>
    </row>
    <row r="7" spans="2:14" ht="14.25" customHeight="1" x14ac:dyDescent="0.3">
      <c r="B7" s="5">
        <f>B3*COUNT('datos historicos'!C4:C253)</f>
        <v>-0.26702008530298316</v>
      </c>
      <c r="C7" s="5">
        <f>C3*COUNT('datos historicos'!F4:F253)</f>
        <v>0.58645929660598195</v>
      </c>
      <c r="D7" s="5">
        <f>D3*COUNT('datos historicos'!I4:I253)</f>
        <v>0.40837072536222435</v>
      </c>
      <c r="E7" s="5">
        <f>E3*COUNT('datos historicos'!L4:L254)</f>
        <v>0.17496761082924778</v>
      </c>
      <c r="F7" s="5">
        <f>F3*COUNT('datos historicos'!O4:O253)</f>
        <v>-0.13618988033404716</v>
      </c>
      <c r="G7" s="5" t="str">
        <f>IF(G10="","",(G3*COUNT('datos historicos'!R4:R254)))</f>
        <v/>
      </c>
      <c r="I7" s="6">
        <f>I3*SQRT(COUNT('datos historicos'!C4:C253))</f>
        <v>0.25945913154438593</v>
      </c>
      <c r="J7" s="6">
        <f>J3*SQRT(COUNT('datos historicos'!F4:F253))</f>
        <v>0.28124706545863021</v>
      </c>
      <c r="K7" s="6">
        <f>K3*SQRT(COUNT('datos historicos'!I4:I253))</f>
        <v>0.28873533461319129</v>
      </c>
      <c r="L7" s="6">
        <f>L3*SQRT(COUNT('datos historicos'!L4:L254))</f>
        <v>0.38573589528093905</v>
      </c>
      <c r="M7" s="6">
        <f>M3*SQRT(COUNT('datos historicos'!O4:O253))</f>
        <v>0.35491282677862912</v>
      </c>
      <c r="N7" s="6" t="str">
        <f>IF(N6="","",(N3*SQRT(COUNT('datos historicos'!R4:R254))))</f>
        <v/>
      </c>
    </row>
    <row r="8" spans="2:14" ht="14.25" customHeight="1" x14ac:dyDescent="0.3">
      <c r="I8" s="7"/>
    </row>
    <row r="9" spans="2:14" ht="14.25" customHeight="1" x14ac:dyDescent="0.3">
      <c r="B9" s="32" t="s">
        <v>4</v>
      </c>
      <c r="C9" s="33"/>
      <c r="D9" s="33"/>
      <c r="E9" s="33"/>
      <c r="F9" s="33"/>
      <c r="G9" s="33"/>
      <c r="H9" s="34"/>
      <c r="K9" s="31" t="s">
        <v>5</v>
      </c>
      <c r="L9" s="31" t="s">
        <v>6</v>
      </c>
    </row>
    <row r="10" spans="2:14" ht="14.25" customHeight="1" x14ac:dyDescent="0.3">
      <c r="B10" s="2" t="s">
        <v>16</v>
      </c>
      <c r="C10" s="2" t="s">
        <v>24</v>
      </c>
      <c r="D10" s="2" t="s">
        <v>25</v>
      </c>
      <c r="E10" s="2" t="s">
        <v>26</v>
      </c>
      <c r="F10" s="2" t="s">
        <v>27</v>
      </c>
      <c r="G10" s="2"/>
      <c r="H10" s="8" t="s">
        <v>7</v>
      </c>
      <c r="K10" s="9">
        <v>0.17</v>
      </c>
      <c r="L10" s="40">
        <v>0.31729722695744245</v>
      </c>
    </row>
    <row r="11" spans="2:14" ht="14.25" customHeight="1" x14ac:dyDescent="0.3">
      <c r="B11" s="9">
        <v>0</v>
      </c>
      <c r="C11" s="9">
        <v>0.99999999907004433</v>
      </c>
      <c r="D11" s="9">
        <v>0</v>
      </c>
      <c r="E11" s="9">
        <v>0</v>
      </c>
      <c r="F11" s="9">
        <v>0</v>
      </c>
      <c r="G11" s="9"/>
      <c r="H11" s="9">
        <f>SUM(B11:G11)</f>
        <v>0.99999999907004433</v>
      </c>
      <c r="K11" s="9">
        <v>0.18</v>
      </c>
      <c r="L11" s="40">
        <v>0.36758582588105876</v>
      </c>
    </row>
    <row r="12" spans="2:14" ht="14.25" customHeight="1" x14ac:dyDescent="0.3">
      <c r="K12" s="9">
        <v>0.19</v>
      </c>
      <c r="L12" s="40">
        <v>0.41020000000000001</v>
      </c>
    </row>
    <row r="13" spans="2:14" ht="14.25" customHeight="1" x14ac:dyDescent="0.3">
      <c r="B13" s="32" t="s">
        <v>8</v>
      </c>
      <c r="C13" s="33"/>
      <c r="D13" s="33"/>
      <c r="E13" s="33"/>
      <c r="F13" s="34"/>
      <c r="G13" s="10">
        <f>SUMPRODUCT(B11:G11,B3:G3)</f>
        <v>2.3458371842424034E-3</v>
      </c>
      <c r="K13" s="9">
        <v>0.2</v>
      </c>
      <c r="L13" s="40">
        <v>0.44825033084022037</v>
      </c>
    </row>
    <row r="14" spans="2:14" ht="14.25" customHeight="1" x14ac:dyDescent="0.3">
      <c r="K14" s="9">
        <v>0.21</v>
      </c>
      <c r="L14" s="40">
        <v>0.48314311952108685</v>
      </c>
    </row>
    <row r="15" spans="2:14" ht="14.25" customHeight="1" x14ac:dyDescent="0.3">
      <c r="B15" s="32" t="s">
        <v>9</v>
      </c>
      <c r="C15" s="33"/>
      <c r="D15" s="33"/>
      <c r="E15" s="33"/>
      <c r="F15" s="34"/>
      <c r="G15" s="39">
        <f>SUMPRODUCT(B11:G11,B7:G7)</f>
        <v>0.58645929606060077</v>
      </c>
      <c r="K15" s="9">
        <v>0.22</v>
      </c>
      <c r="L15" s="40">
        <v>0.50853414414502596</v>
      </c>
    </row>
    <row r="16" spans="2:14" ht="14.25" customHeight="1" x14ac:dyDescent="0.3">
      <c r="K16" s="9">
        <v>0.23</v>
      </c>
      <c r="L16" s="40">
        <v>0.52823233008115156</v>
      </c>
    </row>
    <row r="17" spans="2:12" ht="14.25" customHeight="1" x14ac:dyDescent="0.3">
      <c r="B17" s="32" t="s">
        <v>10</v>
      </c>
      <c r="C17" s="33"/>
      <c r="D17" s="33"/>
      <c r="E17" s="33"/>
      <c r="F17" s="33"/>
      <c r="G17" s="33"/>
      <c r="H17" s="33"/>
      <c r="I17" s="34"/>
      <c r="K17" s="9">
        <v>0.24</v>
      </c>
      <c r="L17" s="40">
        <v>0.5444430966219943</v>
      </c>
    </row>
    <row r="18" spans="2:12" ht="14.25" customHeight="1" x14ac:dyDescent="0.3">
      <c r="B18" s="30" t="str">
        <f>CONCATENATE(H19, B10)</f>
        <v>X1WALMART</v>
      </c>
      <c r="C18" s="30" t="str">
        <f>CONCATENATE(H20, C10)</f>
        <v>X2AMAZON</v>
      </c>
      <c r="D18" s="30" t="str">
        <f>CONCATENATE(H21, D10)</f>
        <v>X3DISNEY</v>
      </c>
      <c r="E18" s="30" t="str">
        <f>CONCATENATE(H22, E10)</f>
        <v>X4STARBUCKS</v>
      </c>
      <c r="F18" s="30" t="str">
        <f>CONCATENATE(H23, F10)</f>
        <v>X5NIKE</v>
      </c>
      <c r="G18" s="30" t="str">
        <f>CONCATENATE(H24, G10)</f>
        <v>X6</v>
      </c>
      <c r="H18" s="30"/>
      <c r="I18" s="30"/>
      <c r="K18" s="9">
        <v>0.25</v>
      </c>
      <c r="L18" s="40">
        <v>0.55684440151480452</v>
      </c>
    </row>
    <row r="19" spans="2:12" ht="14.25" customHeight="1" x14ac:dyDescent="0.3">
      <c r="B19" s="11">
        <f>I3^2</f>
        <v>2.6927616376706787E-4</v>
      </c>
      <c r="C19" s="12">
        <f>_xlfn.COVARIANCE.S('datos historicos'!$C$4:$C$254,'datos historicos'!F4:F254)</f>
        <v>2.0781422905636991E-6</v>
      </c>
      <c r="D19" s="12">
        <f>_xlfn.COVARIANCE.S('datos historicos'!$C$4:$C$254,'datos historicos'!I4:I254)</f>
        <v>-2.2084342692600111E-5</v>
      </c>
      <c r="E19" s="12">
        <f>_xlfn.COVARIANCE.S('datos historicos'!$C$4:$C$254,'datos historicos'!L4:L254)</f>
        <v>-4.6515403589541144E-6</v>
      </c>
      <c r="F19" s="12">
        <f>_xlfn.COVARIANCE.S('datos historicos'!$C$4:$C$254,'datos historicos'!O4:O254)</f>
        <v>5.8864885361493355E-6</v>
      </c>
      <c r="G19" s="12" t="str">
        <f>IF(G2="","",(_xlfn.COVARIANCE.S('datos historicos'!$C$4:$C$254,'datos historicos'!R4:R254)))</f>
        <v/>
      </c>
      <c r="H19" s="13" t="s">
        <v>18</v>
      </c>
      <c r="I19" s="9">
        <f>B11</f>
        <v>0</v>
      </c>
      <c r="K19" s="9">
        <v>0.26</v>
      </c>
      <c r="L19" s="40">
        <v>0.56735317674595465</v>
      </c>
    </row>
    <row r="20" spans="2:12" ht="14.25" customHeight="1" x14ac:dyDescent="0.3">
      <c r="B20" s="12">
        <f>+C19</f>
        <v>2.0781422905636991E-6</v>
      </c>
      <c r="C20" s="14">
        <f>J3^2</f>
        <v>3.1639964731636417E-4</v>
      </c>
      <c r="D20" s="12">
        <f>_xlfn.COVARIANCE.S('datos historicos'!$F$4:$F$254,'datos historicos'!I4:I254)</f>
        <v>7.5229081333451836E-5</v>
      </c>
      <c r="E20" s="12">
        <f>_xlfn.COVARIANCE.S('datos historicos'!$F$4:$F$254,'datos historicos'!L4:L254)</f>
        <v>6.6587320023664435E-6</v>
      </c>
      <c r="F20" s="12">
        <f>_xlfn.COVARIANCE.S('datos historicos'!$F$4:$F$254,'datos historicos'!O4:O254)</f>
        <v>6.1349759387644087E-5</v>
      </c>
      <c r="G20" s="12" t="str">
        <f>IF(G2="","",(_xlfn.COVARIANCE.S('datos historicos'!$F$4:$F$254,'datos historicos'!R4:R254)))</f>
        <v/>
      </c>
      <c r="H20" s="12" t="s">
        <v>19</v>
      </c>
      <c r="I20" s="9">
        <f>C11</f>
        <v>0.99999999907004433</v>
      </c>
      <c r="K20" s="9">
        <v>0.27</v>
      </c>
      <c r="L20" s="40">
        <v>0.57675541001367425</v>
      </c>
    </row>
    <row r="21" spans="2:12" ht="14.25" customHeight="1" x14ac:dyDescent="0.3">
      <c r="B21" s="12">
        <f>D19</f>
        <v>-2.2084342692600111E-5</v>
      </c>
      <c r="C21" s="12">
        <f>D20</f>
        <v>7.5229081333451836E-5</v>
      </c>
      <c r="D21" s="14">
        <f>K3^2</f>
        <v>3.3347237381676614E-4</v>
      </c>
      <c r="E21" s="12">
        <f>_xlfn.COVARIANCE.S('datos historicos'!$I$4:$I$254,'datos historicos'!L4:L254)</f>
        <v>6.2698544429594507E-5</v>
      </c>
      <c r="F21" s="12">
        <f>_xlfn.COVARIANCE.S('datos historicos'!$I$4:$I$254,'datos historicos'!O4:O254)</f>
        <v>1.0547393537151943E-4</v>
      </c>
      <c r="G21" s="12" t="str">
        <f>IF(G2="","",(_xlfn.COVARIANCE.S('datos historicos'!$I$4:$I$254,'datos historicos'!R4:R254)))</f>
        <v/>
      </c>
      <c r="H21" s="12" t="s">
        <v>20</v>
      </c>
      <c r="I21" s="9">
        <f>D11</f>
        <v>0</v>
      </c>
      <c r="K21" s="9">
        <v>0.28000000000000003</v>
      </c>
      <c r="L21" s="40">
        <v>0.58541931202943509</v>
      </c>
    </row>
    <row r="22" spans="2:12" ht="14.25" customHeight="1" x14ac:dyDescent="0.3">
      <c r="B22" s="12">
        <f>E19</f>
        <v>-4.6515403589541144E-6</v>
      </c>
      <c r="C22" s="12">
        <f>E20</f>
        <v>6.6587320023664435E-6</v>
      </c>
      <c r="D22" s="12">
        <f>E21</f>
        <v>6.2698544429594507E-5</v>
      </c>
      <c r="E22" s="14">
        <f>L3^2</f>
        <v>6.0731502411505119E-4</v>
      </c>
      <c r="F22" s="12">
        <f>_xlfn.COVARIANCE.S('datos historicos'!$L$4:$L$254,'datos historicos'!O4:O254)</f>
        <v>-9.9093130886651718E-6</v>
      </c>
      <c r="G22" s="12" t="str">
        <f>IF(G2="","",(_xlfn.COVARIANCE.S('datos historicos'!$L$4:$L$254,'datos historicos'!R4:R254)))</f>
        <v/>
      </c>
      <c r="H22" s="12" t="s">
        <v>21</v>
      </c>
      <c r="I22" s="9">
        <f>E11</f>
        <v>0</v>
      </c>
      <c r="K22" s="9">
        <v>0.28999999999999998</v>
      </c>
      <c r="L22" s="40">
        <v>0.58645929653717543</v>
      </c>
    </row>
    <row r="23" spans="2:12" ht="14.25" customHeight="1" x14ac:dyDescent="0.3">
      <c r="B23" s="12">
        <f>F19</f>
        <v>5.8864885361493355E-6</v>
      </c>
      <c r="C23" s="12">
        <f>F20</f>
        <v>6.1349759387644087E-5</v>
      </c>
      <c r="D23" s="12">
        <f>F21</f>
        <v>1.0547393537151943E-4</v>
      </c>
      <c r="E23" s="12">
        <f>F22</f>
        <v>-9.9093130886651718E-6</v>
      </c>
      <c r="F23" s="14">
        <f>M3^2</f>
        <v>5.099721239352113E-4</v>
      </c>
      <c r="G23" s="12" t="str">
        <f>IF(G2="","",(_xlfn.COVARIANCE.S('datos historicos'!O4:O254,'datos historicos'!R4:R254)))</f>
        <v/>
      </c>
      <c r="H23" s="12" t="s">
        <v>22</v>
      </c>
      <c r="I23" s="9">
        <f>F11</f>
        <v>0</v>
      </c>
      <c r="K23" s="9">
        <v>0.3</v>
      </c>
      <c r="L23" s="40">
        <v>0.58645929653717543</v>
      </c>
    </row>
    <row r="24" spans="2:12" ht="14.25" customHeight="1" x14ac:dyDescent="0.3">
      <c r="B24" s="12" t="str">
        <f>G19</f>
        <v/>
      </c>
      <c r="C24" s="12" t="str">
        <f>G20</f>
        <v/>
      </c>
      <c r="D24" s="12" t="str">
        <f>G21</f>
        <v/>
      </c>
      <c r="E24" s="12" t="str">
        <f>G22</f>
        <v/>
      </c>
      <c r="F24" s="12" t="str">
        <f>G23</f>
        <v/>
      </c>
      <c r="G24" s="14" t="str">
        <f>IF(G2="","",(N3^2))</f>
        <v/>
      </c>
      <c r="H24" s="12" t="s">
        <v>23</v>
      </c>
      <c r="I24" s="9">
        <f>G11</f>
        <v>0</v>
      </c>
      <c r="K24" s="9">
        <v>0.31</v>
      </c>
      <c r="L24" s="40">
        <v>0.58645929653717543</v>
      </c>
    </row>
    <row r="25" spans="2:12" ht="14.25" customHeight="1" x14ac:dyDescent="0.3">
      <c r="K25" s="9"/>
      <c r="L25" s="40"/>
    </row>
    <row r="26" spans="2:12" ht="14.25" customHeight="1" x14ac:dyDescent="0.3">
      <c r="B26" s="15" t="s">
        <v>11</v>
      </c>
      <c r="C26" s="16" cm="1">
        <f t="array" ref="C26">MMULT(MMULT(B11:F11,B19:F23),I19:I23)</f>
        <v>3.1639964672788883E-4</v>
      </c>
      <c r="K26" s="9"/>
      <c r="L26" s="40"/>
    </row>
    <row r="27" spans="2:12" ht="14.25" customHeight="1" x14ac:dyDescent="0.3">
      <c r="B27" s="17" t="s">
        <v>12</v>
      </c>
      <c r="C27" s="18">
        <f>SQRT(C26)</f>
        <v>1.7787626225213099E-2</v>
      </c>
      <c r="K27" s="9"/>
      <c r="L27" s="40"/>
    </row>
    <row r="28" spans="2:12" ht="14.25" customHeight="1" x14ac:dyDescent="0.3">
      <c r="B28" s="19" t="s">
        <v>13</v>
      </c>
      <c r="C28" s="20">
        <f>C27*SQRT(COUNT('datos historicos'!F4:F253))</f>
        <v>0.28124706519708287</v>
      </c>
      <c r="K28" s="9"/>
      <c r="L28" s="40"/>
    </row>
    <row r="29" spans="2:12" ht="14.25" customHeight="1" x14ac:dyDescent="0.3">
      <c r="K29" s="9"/>
      <c r="L29" s="40"/>
    </row>
    <row r="30" spans="2:12" ht="14.25" customHeight="1" x14ac:dyDescent="0.3">
      <c r="K30" s="9"/>
      <c r="L30" s="40"/>
    </row>
    <row r="31" spans="2:12" ht="14.25" customHeight="1" x14ac:dyDescent="0.3">
      <c r="K31" s="9"/>
      <c r="L31" s="40"/>
    </row>
    <row r="32" spans="2:12" ht="14.25" customHeight="1" x14ac:dyDescent="0.3">
      <c r="K32" s="9"/>
      <c r="L32" s="40"/>
    </row>
    <row r="33" spans="11:12" ht="14.25" customHeight="1" x14ac:dyDescent="0.3">
      <c r="K33" s="9"/>
      <c r="L33" s="40"/>
    </row>
    <row r="34" spans="11:12" ht="14.25" customHeight="1" x14ac:dyDescent="0.3">
      <c r="K34" s="9"/>
      <c r="L34" s="40"/>
    </row>
    <row r="35" spans="11:12" ht="14.25" customHeight="1" x14ac:dyDescent="0.3">
      <c r="K35" s="9"/>
      <c r="L35" s="40"/>
    </row>
    <row r="36" spans="11:12" ht="14.25" customHeight="1" x14ac:dyDescent="0.3"/>
    <row r="37" spans="11:12" ht="14.25" customHeight="1" x14ac:dyDescent="0.3"/>
    <row r="38" spans="11:12" ht="14.25" customHeight="1" x14ac:dyDescent="0.3"/>
    <row r="39" spans="11:12" ht="14.25" customHeight="1" x14ac:dyDescent="0.3"/>
    <row r="40" spans="11:12" ht="14.25" customHeight="1" x14ac:dyDescent="0.3"/>
    <row r="41" spans="11:12" ht="14.25" customHeight="1" x14ac:dyDescent="0.3"/>
    <row r="42" spans="11:12" ht="14.25" customHeight="1" x14ac:dyDescent="0.3"/>
    <row r="43" spans="11:12" ht="14.25" customHeight="1" x14ac:dyDescent="0.3"/>
    <row r="44" spans="11:12" ht="14.25" customHeight="1" x14ac:dyDescent="0.3"/>
    <row r="45" spans="11:12" ht="14.25" customHeight="1" x14ac:dyDescent="0.3"/>
    <row r="46" spans="11:12" ht="14.25" customHeight="1" x14ac:dyDescent="0.3"/>
    <row r="47" spans="11:12" ht="14.25" customHeight="1" x14ac:dyDescent="0.3"/>
    <row r="48" spans="11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B13:F13"/>
    <mergeCell ref="B15:F15"/>
    <mergeCell ref="B17:I17"/>
    <mergeCell ref="B1:G1"/>
    <mergeCell ref="I1:N1"/>
    <mergeCell ref="B5:G5"/>
    <mergeCell ref="I5:N5"/>
    <mergeCell ref="B9:H9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82A2-E4AC-4E7E-8AB1-2CD8217259A9}">
  <dimension ref="A2:S255"/>
  <sheetViews>
    <sheetView topLeftCell="A227" workbookViewId="0">
      <selection activeCell="C253" sqref="C253"/>
    </sheetView>
  </sheetViews>
  <sheetFormatPr baseColWidth="10" defaultRowHeight="14.4" x14ac:dyDescent="0.3"/>
  <sheetData>
    <row r="2" spans="1:19" ht="18" x14ac:dyDescent="0.35">
      <c r="A2" s="38" t="s">
        <v>16</v>
      </c>
      <c r="B2" s="38"/>
      <c r="C2" s="21"/>
      <c r="D2" s="38" t="s">
        <v>24</v>
      </c>
      <c r="E2" s="38"/>
      <c r="F2" s="21"/>
      <c r="G2" s="38" t="s">
        <v>25</v>
      </c>
      <c r="H2" s="38"/>
      <c r="I2" s="21"/>
      <c r="J2" s="38" t="s">
        <v>26</v>
      </c>
      <c r="K2" s="38"/>
      <c r="L2" s="21"/>
      <c r="M2" s="38" t="s">
        <v>27</v>
      </c>
      <c r="N2" s="38"/>
      <c r="O2" s="21"/>
      <c r="P2" s="38"/>
      <c r="Q2" s="38"/>
      <c r="R2" s="29"/>
    </row>
    <row r="3" spans="1:19" x14ac:dyDescent="0.3">
      <c r="A3" s="22" t="s">
        <v>14</v>
      </c>
      <c r="B3" s="22" t="s">
        <v>15</v>
      </c>
      <c r="C3" s="22" t="s">
        <v>17</v>
      </c>
      <c r="D3" s="25" t="s">
        <v>14</v>
      </c>
      <c r="E3" s="22" t="s">
        <v>15</v>
      </c>
      <c r="F3" s="22" t="s">
        <v>17</v>
      </c>
      <c r="G3" s="25" t="s">
        <v>14</v>
      </c>
      <c r="H3" s="22" t="s">
        <v>15</v>
      </c>
      <c r="I3" s="22" t="s">
        <v>17</v>
      </c>
      <c r="J3" s="25" t="s">
        <v>14</v>
      </c>
      <c r="K3" s="22" t="s">
        <v>15</v>
      </c>
      <c r="L3" s="22" t="s">
        <v>17</v>
      </c>
      <c r="M3" s="25" t="s">
        <v>14</v>
      </c>
      <c r="N3" s="22" t="s">
        <v>15</v>
      </c>
      <c r="O3" s="22" t="s">
        <v>17</v>
      </c>
      <c r="P3" s="25" t="s">
        <v>14</v>
      </c>
      <c r="Q3" s="22" t="s">
        <v>15</v>
      </c>
      <c r="R3" s="22" t="s">
        <v>17</v>
      </c>
      <c r="S3" s="27"/>
    </row>
    <row r="4" spans="1:19" x14ac:dyDescent="0.3">
      <c r="A4" s="24"/>
      <c r="B4">
        <v>54.89</v>
      </c>
      <c r="C4" s="42">
        <f>LN(B4/B5)</f>
        <v>1.5791734705823426E-2</v>
      </c>
      <c r="D4" s="26"/>
      <c r="E4" s="41">
        <v>4581.97</v>
      </c>
      <c r="F4" s="28">
        <f>LN(E4/E5)</f>
        <v>4.8899222734537532E-4</v>
      </c>
      <c r="G4" s="26"/>
      <c r="H4" s="41">
        <v>2309.23</v>
      </c>
      <c r="I4" s="28">
        <f>LN(H4/H5)</f>
        <v>7.7511511550759108E-3</v>
      </c>
      <c r="J4" s="26"/>
      <c r="K4" s="41">
        <v>1900</v>
      </c>
      <c r="L4" s="28">
        <f>LN(K4/K5)</f>
        <v>1.3245226750020723E-2</v>
      </c>
      <c r="M4" s="26"/>
      <c r="N4" s="41">
        <v>1584.79</v>
      </c>
      <c r="O4" s="28">
        <f>LN(N4/N5)</f>
        <v>2.2842345003092217E-2</v>
      </c>
      <c r="P4" s="26"/>
      <c r="Q4" s="23"/>
      <c r="R4" s="28" t="str">
        <f>IF(Q4="","",(LN(Q4/Q5)))</f>
        <v/>
      </c>
      <c r="S4" s="27"/>
    </row>
    <row r="5" spans="1:19" x14ac:dyDescent="0.3">
      <c r="A5" s="24"/>
      <c r="B5">
        <v>54.03</v>
      </c>
      <c r="C5" s="42">
        <f t="shared" ref="C5:C68" si="0">LN(B5/B6)</f>
        <v>-1.8157307640454069E-2</v>
      </c>
      <c r="D5" s="26"/>
      <c r="E5" s="41">
        <v>4579.7299999999996</v>
      </c>
      <c r="F5" s="28">
        <f t="shared" ref="F5:F68" si="1">LN(E5/E6)</f>
        <v>7.75974240194564E-3</v>
      </c>
      <c r="G5" s="26"/>
      <c r="H5" s="41">
        <v>2291.4</v>
      </c>
      <c r="I5" s="28">
        <f t="shared" ref="I5:I68" si="2">LN(H5/H6)</f>
        <v>1.1588225542391096E-2</v>
      </c>
      <c r="J5" s="26"/>
      <c r="K5" s="41">
        <v>1875</v>
      </c>
      <c r="L5" s="28">
        <f t="shared" ref="L5:L68" si="3">LN(K5/K6)</f>
        <v>5.3476063265952773E-3</v>
      </c>
      <c r="M5" s="26"/>
      <c r="N5" s="41">
        <v>1549</v>
      </c>
      <c r="O5" s="28">
        <f t="shared" ref="O5:O68" si="4">LN(N5/N6)</f>
        <v>-3.5508219978841859E-3</v>
      </c>
      <c r="P5" s="26"/>
      <c r="Q5" s="23"/>
      <c r="R5" s="28" t="str">
        <f t="shared" ref="R5:R68" si="5">IF(Q5="","",(LN(Q5/Q6)))</f>
        <v/>
      </c>
      <c r="S5" s="27"/>
    </row>
    <row r="6" spans="1:19" x14ac:dyDescent="0.3">
      <c r="A6" s="24"/>
      <c r="B6">
        <v>55.02</v>
      </c>
      <c r="C6" s="42">
        <f t="shared" si="0"/>
        <v>-1.6225342429126269E-2</v>
      </c>
      <c r="D6" s="26"/>
      <c r="E6" s="41">
        <v>4544.33</v>
      </c>
      <c r="F6" s="28">
        <f t="shared" si="1"/>
        <v>-1.3913621372243071E-2</v>
      </c>
      <c r="G6" s="26"/>
      <c r="H6" s="41">
        <v>2265</v>
      </c>
      <c r="I6" s="28">
        <f t="shared" si="2"/>
        <v>-5.7231060899930906E-3</v>
      </c>
      <c r="J6" s="26"/>
      <c r="K6" s="41">
        <v>1865</v>
      </c>
      <c r="L6" s="28">
        <f t="shared" si="3"/>
        <v>3.8680611244954768E-3</v>
      </c>
      <c r="M6" s="26"/>
      <c r="N6" s="41">
        <v>1554.51</v>
      </c>
      <c r="O6" s="28">
        <f t="shared" si="4"/>
        <v>-1.7674832753809076E-3</v>
      </c>
      <c r="P6" s="26"/>
      <c r="Q6" s="23"/>
      <c r="R6" s="28" t="str">
        <f t="shared" si="5"/>
        <v/>
      </c>
      <c r="S6" s="27"/>
    </row>
    <row r="7" spans="1:19" x14ac:dyDescent="0.3">
      <c r="A7" s="24"/>
      <c r="B7">
        <v>55.92</v>
      </c>
      <c r="C7" s="42">
        <f t="shared" si="0"/>
        <v>-4.6387237505427182E-3</v>
      </c>
      <c r="D7" s="26"/>
      <c r="E7" s="41">
        <v>4608</v>
      </c>
      <c r="F7" s="28">
        <f t="shared" si="1"/>
        <v>2.1703743981026262E-4</v>
      </c>
      <c r="G7" s="26"/>
      <c r="H7" s="41">
        <v>2278</v>
      </c>
      <c r="I7" s="28">
        <f t="shared" si="2"/>
        <v>3.5180335316790292E-3</v>
      </c>
      <c r="J7" s="26"/>
      <c r="K7" s="41">
        <v>1857.8</v>
      </c>
      <c r="L7" s="28">
        <f t="shared" si="3"/>
        <v>2.99410477501031E-2</v>
      </c>
      <c r="M7" s="26"/>
      <c r="N7" s="41">
        <v>1557.26</v>
      </c>
      <c r="O7" s="28">
        <f t="shared" si="4"/>
        <v>7.7809865731034581E-3</v>
      </c>
      <c r="P7" s="26"/>
      <c r="Q7" s="23"/>
      <c r="R7" s="28" t="str">
        <f t="shared" si="5"/>
        <v/>
      </c>
      <c r="S7" s="27"/>
    </row>
    <row r="8" spans="1:19" x14ac:dyDescent="0.3">
      <c r="A8" s="24"/>
      <c r="B8">
        <v>56.18</v>
      </c>
      <c r="C8" s="42">
        <f t="shared" si="0"/>
        <v>-2.1337134695470681E-3</v>
      </c>
      <c r="D8" s="26"/>
      <c r="E8" s="41">
        <v>4607</v>
      </c>
      <c r="F8" s="28">
        <f t="shared" si="1"/>
        <v>1.1588485440621941E-2</v>
      </c>
      <c r="G8" s="26"/>
      <c r="H8" s="41">
        <v>2270</v>
      </c>
      <c r="I8" s="28">
        <f t="shared" si="2"/>
        <v>8.7029593648199604E-3</v>
      </c>
      <c r="J8" s="26"/>
      <c r="K8" s="41">
        <v>1803</v>
      </c>
      <c r="L8" s="28">
        <f t="shared" si="3"/>
        <v>2.9933303861573276E-2</v>
      </c>
      <c r="M8" s="26"/>
      <c r="N8" s="41">
        <v>1545.19</v>
      </c>
      <c r="O8" s="28">
        <f t="shared" si="4"/>
        <v>1.4118258934702871E-3</v>
      </c>
      <c r="P8" s="26"/>
      <c r="Q8" s="23"/>
      <c r="R8" s="28" t="str">
        <f t="shared" si="5"/>
        <v/>
      </c>
      <c r="S8" s="27"/>
    </row>
    <row r="9" spans="1:19" x14ac:dyDescent="0.3">
      <c r="A9" s="24"/>
      <c r="B9">
        <v>56.3</v>
      </c>
      <c r="C9" s="42">
        <f t="shared" si="0"/>
        <v>-1.8652661145720284E-2</v>
      </c>
      <c r="D9" s="26"/>
      <c r="E9" s="41">
        <v>4553.92</v>
      </c>
      <c r="F9" s="28">
        <f t="shared" si="1"/>
        <v>1.2953769450344975E-2</v>
      </c>
      <c r="G9" s="26"/>
      <c r="H9" s="41">
        <v>2250.33</v>
      </c>
      <c r="I9" s="28">
        <f t="shared" si="2"/>
        <v>3.8200612784715475E-3</v>
      </c>
      <c r="J9" s="26"/>
      <c r="K9" s="41">
        <v>1749.83</v>
      </c>
      <c r="L9" s="28">
        <f t="shared" si="3"/>
        <v>-6.684129441079529E-4</v>
      </c>
      <c r="M9" s="26"/>
      <c r="N9" s="41">
        <v>1543.01</v>
      </c>
      <c r="O9" s="28">
        <f t="shared" si="4"/>
        <v>2.8036491740019687E-3</v>
      </c>
      <c r="P9" s="26"/>
      <c r="Q9" s="23"/>
      <c r="R9" s="28" t="str">
        <f t="shared" si="5"/>
        <v/>
      </c>
      <c r="S9" s="27"/>
    </row>
    <row r="10" spans="1:19" x14ac:dyDescent="0.3">
      <c r="A10" s="24"/>
      <c r="B10">
        <v>57.36</v>
      </c>
      <c r="C10" s="42">
        <f t="shared" si="0"/>
        <v>-1.1612921911152076E-2</v>
      </c>
      <c r="D10" s="26"/>
      <c r="E10" s="41">
        <v>4495.3100000000004</v>
      </c>
      <c r="F10" s="28">
        <f t="shared" si="1"/>
        <v>-1.3333589797693385E-2</v>
      </c>
      <c r="G10" s="26"/>
      <c r="H10" s="41">
        <v>2241.75</v>
      </c>
      <c r="I10" s="28">
        <f t="shared" si="2"/>
        <v>-1.1641575015485755E-2</v>
      </c>
      <c r="J10" s="26"/>
      <c r="K10" s="41">
        <v>1751</v>
      </c>
      <c r="L10" s="28">
        <f t="shared" si="3"/>
        <v>-3.8676919935098711E-2</v>
      </c>
      <c r="M10" s="26"/>
      <c r="N10" s="41">
        <v>1538.69</v>
      </c>
      <c r="O10" s="28">
        <f t="shared" si="4"/>
        <v>-1.8837628597268084E-2</v>
      </c>
      <c r="P10" s="26"/>
      <c r="Q10" s="23"/>
      <c r="R10" s="28" t="str">
        <f t="shared" si="5"/>
        <v/>
      </c>
      <c r="S10" s="27"/>
    </row>
    <row r="11" spans="1:19" x14ac:dyDescent="0.3">
      <c r="A11" s="24"/>
      <c r="B11">
        <v>58.03</v>
      </c>
      <c r="C11" s="42">
        <f t="shared" si="0"/>
        <v>-5.156422563029295E-3</v>
      </c>
      <c r="D11" s="26"/>
      <c r="E11" s="41">
        <v>4555.6499999999996</v>
      </c>
      <c r="F11" s="28">
        <f t="shared" si="1"/>
        <v>9.880398163024471E-3</v>
      </c>
      <c r="G11" s="26"/>
      <c r="H11" s="41">
        <v>2268</v>
      </c>
      <c r="I11" s="28">
        <f t="shared" si="2"/>
        <v>-2.1757618241179375E-3</v>
      </c>
      <c r="J11" s="26"/>
      <c r="K11" s="41">
        <v>1820.05</v>
      </c>
      <c r="L11" s="28">
        <f t="shared" si="3"/>
        <v>-1.611083281688673E-2</v>
      </c>
      <c r="M11" s="26"/>
      <c r="N11" s="41">
        <v>1567.95</v>
      </c>
      <c r="O11" s="28">
        <f t="shared" si="4"/>
        <v>-6.4081999851232866E-3</v>
      </c>
      <c r="P11" s="26"/>
      <c r="Q11" s="23"/>
      <c r="R11" s="28" t="str">
        <f t="shared" si="5"/>
        <v/>
      </c>
      <c r="S11" s="27"/>
    </row>
    <row r="12" spans="1:19" x14ac:dyDescent="0.3">
      <c r="A12" s="24"/>
      <c r="B12">
        <v>58.33</v>
      </c>
      <c r="C12" s="42">
        <f t="shared" si="0"/>
        <v>1.5201536470781473E-2</v>
      </c>
      <c r="D12" s="26"/>
      <c r="E12" s="41">
        <v>4510.8599999999997</v>
      </c>
      <c r="F12" s="28">
        <f t="shared" si="1"/>
        <v>-3.5013802724791356E-2</v>
      </c>
      <c r="G12" s="26"/>
      <c r="H12" s="41">
        <v>2272.94</v>
      </c>
      <c r="I12" s="28">
        <f t="shared" si="2"/>
        <v>-2.438795170230411E-3</v>
      </c>
      <c r="J12" s="26"/>
      <c r="K12" s="41">
        <v>1849.61</v>
      </c>
      <c r="L12" s="28">
        <f t="shared" si="3"/>
        <v>-9.0152038066316931E-3</v>
      </c>
      <c r="M12" s="26"/>
      <c r="N12" s="41">
        <v>1578.03</v>
      </c>
      <c r="O12" s="28">
        <f t="shared" si="4"/>
        <v>2.4872004548111741E-3</v>
      </c>
      <c r="P12" s="26"/>
      <c r="Q12" s="23"/>
      <c r="R12" s="28" t="str">
        <f t="shared" si="5"/>
        <v/>
      </c>
      <c r="S12" s="27"/>
    </row>
    <row r="13" spans="1:19" x14ac:dyDescent="0.3">
      <c r="A13" s="24"/>
      <c r="B13">
        <v>57.45</v>
      </c>
      <c r="C13" s="42">
        <f t="shared" si="0"/>
        <v>-3.8584506264136273E-2</v>
      </c>
      <c r="D13" s="26"/>
      <c r="E13" s="41">
        <v>4671.6000000000004</v>
      </c>
      <c r="F13" s="28">
        <f t="shared" si="1"/>
        <v>-3.3102953821571952E-3</v>
      </c>
      <c r="G13" s="26"/>
      <c r="H13" s="41">
        <v>2278.4899999999998</v>
      </c>
      <c r="I13" s="28">
        <f t="shared" si="2"/>
        <v>9.4764450244552764E-3</v>
      </c>
      <c r="J13" s="26"/>
      <c r="K13" s="41">
        <v>1866.36</v>
      </c>
      <c r="L13" s="28">
        <f t="shared" si="3"/>
        <v>-7.5476890659220463E-3</v>
      </c>
      <c r="M13" s="26"/>
      <c r="N13" s="41">
        <v>1574.11</v>
      </c>
      <c r="O13" s="28">
        <f t="shared" si="4"/>
        <v>8.7542431783478036E-3</v>
      </c>
      <c r="P13" s="26"/>
      <c r="Q13" s="23"/>
      <c r="R13" s="28" t="str">
        <f t="shared" si="5"/>
        <v/>
      </c>
      <c r="S13" s="27"/>
    </row>
    <row r="14" spans="1:19" x14ac:dyDescent="0.3">
      <c r="A14" s="24"/>
      <c r="B14">
        <v>59.71</v>
      </c>
      <c r="C14" s="42">
        <f t="shared" si="0"/>
        <v>-2.7910324594195669E-2</v>
      </c>
      <c r="D14" s="26"/>
      <c r="E14" s="41">
        <v>4687.09</v>
      </c>
      <c r="F14" s="28">
        <f t="shared" si="1"/>
        <v>2.2488663420228122E-2</v>
      </c>
      <c r="G14" s="26"/>
      <c r="H14" s="41">
        <v>2257</v>
      </c>
      <c r="I14" s="28">
        <f t="shared" si="2"/>
        <v>-1.1891793958365197E-2</v>
      </c>
      <c r="J14" s="26"/>
      <c r="K14" s="41">
        <v>1880.5</v>
      </c>
      <c r="L14" s="28">
        <f t="shared" si="3"/>
        <v>-4.3139965348029975E-2</v>
      </c>
      <c r="M14" s="26"/>
      <c r="N14" s="41">
        <v>1560.39</v>
      </c>
      <c r="O14" s="28">
        <f t="shared" si="4"/>
        <v>3.4602443854555888E-3</v>
      </c>
      <c r="P14" s="26"/>
      <c r="Q14" s="23"/>
      <c r="R14" s="28" t="str">
        <f t="shared" si="5"/>
        <v/>
      </c>
      <c r="S14" s="27"/>
    </row>
    <row r="15" spans="1:19" x14ac:dyDescent="0.3">
      <c r="A15" s="24"/>
      <c r="B15">
        <v>61.4</v>
      </c>
      <c r="C15" s="42">
        <f t="shared" si="0"/>
        <v>7.2605718491132135E-2</v>
      </c>
      <c r="D15" s="26"/>
      <c r="E15" s="41">
        <v>4582.8599999999997</v>
      </c>
      <c r="F15" s="28">
        <f t="shared" si="1"/>
        <v>-9.6675758163875716E-3</v>
      </c>
      <c r="G15" s="26"/>
      <c r="H15" s="41">
        <v>2284</v>
      </c>
      <c r="I15" s="28">
        <f t="shared" si="2"/>
        <v>-8.5795525050372003E-3</v>
      </c>
      <c r="J15" s="26"/>
      <c r="K15" s="41">
        <v>1963.4</v>
      </c>
      <c r="L15" s="28">
        <f t="shared" si="3"/>
        <v>-1.4461494886122455E-2</v>
      </c>
      <c r="M15" s="26"/>
      <c r="N15" s="41">
        <v>1555</v>
      </c>
      <c r="O15" s="28">
        <f t="shared" si="4"/>
        <v>-1.6582012596137539E-2</v>
      </c>
      <c r="P15" s="26"/>
      <c r="Q15" s="23"/>
      <c r="R15" s="28" t="str">
        <f t="shared" si="5"/>
        <v/>
      </c>
      <c r="S15" s="27"/>
    </row>
    <row r="16" spans="1:19" x14ac:dyDescent="0.3">
      <c r="A16" s="24"/>
      <c r="B16">
        <v>57.1</v>
      </c>
      <c r="C16" s="42">
        <f t="shared" si="0"/>
        <v>1.5774256184739965E-3</v>
      </c>
      <c r="D16" s="26"/>
      <c r="E16" s="41">
        <v>4627.38</v>
      </c>
      <c r="F16" s="28">
        <f t="shared" si="1"/>
        <v>2.0917961911929503E-2</v>
      </c>
      <c r="G16" s="26"/>
      <c r="H16" s="41">
        <v>2303.6799999999998</v>
      </c>
      <c r="I16" s="28">
        <f t="shared" si="2"/>
        <v>2.0335985177565262E-3</v>
      </c>
      <c r="J16" s="26"/>
      <c r="K16" s="41">
        <v>1992</v>
      </c>
      <c r="L16" s="28">
        <f t="shared" si="3"/>
        <v>-3.0075210639553284E-3</v>
      </c>
      <c r="M16" s="26"/>
      <c r="N16" s="41">
        <v>1581</v>
      </c>
      <c r="O16" s="28">
        <f t="shared" si="4"/>
        <v>1.9834885880998465E-2</v>
      </c>
      <c r="P16" s="26"/>
      <c r="Q16" s="23"/>
      <c r="R16" s="28" t="str">
        <f t="shared" si="5"/>
        <v/>
      </c>
      <c r="S16" s="27"/>
    </row>
    <row r="17" spans="1:19" x14ac:dyDescent="0.3">
      <c r="A17" s="24"/>
      <c r="B17">
        <v>57.01</v>
      </c>
      <c r="C17" s="42">
        <f t="shared" si="0"/>
        <v>-3.851545377520367E-3</v>
      </c>
      <c r="D17" s="26"/>
      <c r="E17" s="41">
        <v>4531.59</v>
      </c>
      <c r="F17" s="28">
        <f t="shared" si="1"/>
        <v>-9.8572723926244801E-3</v>
      </c>
      <c r="G17" s="26"/>
      <c r="H17" s="41">
        <v>2299</v>
      </c>
      <c r="I17" s="28">
        <f t="shared" si="2"/>
        <v>-9.0929398971740395E-3</v>
      </c>
      <c r="J17" s="26"/>
      <c r="K17" s="41">
        <v>1998</v>
      </c>
      <c r="L17" s="28">
        <f t="shared" si="3"/>
        <v>-1.5913743065879227E-2</v>
      </c>
      <c r="M17" s="26"/>
      <c r="N17" s="41">
        <v>1549.95</v>
      </c>
      <c r="O17" s="28">
        <f t="shared" si="4"/>
        <v>-1.5562648251424336E-2</v>
      </c>
      <c r="P17" s="26"/>
      <c r="Q17" s="23"/>
      <c r="R17" s="28" t="str">
        <f t="shared" si="5"/>
        <v/>
      </c>
      <c r="S17" s="27"/>
    </row>
    <row r="18" spans="1:19" x14ac:dyDescent="0.3">
      <c r="A18" s="24"/>
      <c r="B18">
        <v>57.23</v>
      </c>
      <c r="C18" s="42">
        <f t="shared" si="0"/>
        <v>-8.732862313793338E-4</v>
      </c>
      <c r="D18" s="26"/>
      <c r="E18" s="41">
        <v>4576.4799999999996</v>
      </c>
      <c r="F18" s="28">
        <f t="shared" si="1"/>
        <v>1.6795553127687028E-3</v>
      </c>
      <c r="G18" s="26"/>
      <c r="H18" s="41">
        <v>2320</v>
      </c>
      <c r="I18" s="28">
        <f t="shared" si="2"/>
        <v>-1.5398080111121719E-2</v>
      </c>
      <c r="J18" s="26"/>
      <c r="K18" s="41">
        <v>2030.05</v>
      </c>
      <c r="L18" s="28">
        <f t="shared" si="3"/>
        <v>9.4283125017260924E-3</v>
      </c>
      <c r="M18" s="26"/>
      <c r="N18" s="41">
        <v>1574.26</v>
      </c>
      <c r="O18" s="28">
        <f t="shared" si="4"/>
        <v>-1.3132301823369727E-2</v>
      </c>
      <c r="P18" s="26"/>
      <c r="Q18" s="23"/>
      <c r="R18" s="28" t="str">
        <f t="shared" si="5"/>
        <v/>
      </c>
      <c r="S18" s="27"/>
    </row>
    <row r="19" spans="1:19" x14ac:dyDescent="0.3">
      <c r="A19" s="24"/>
      <c r="B19">
        <v>57.28</v>
      </c>
      <c r="C19" s="42">
        <f t="shared" si="0"/>
        <v>4.5494391678641269E-3</v>
      </c>
      <c r="D19" s="26"/>
      <c r="E19" s="41">
        <v>4568.8</v>
      </c>
      <c r="F19" s="28">
        <f t="shared" si="1"/>
        <v>1.9991447432908805E-2</v>
      </c>
      <c r="G19" s="26"/>
      <c r="H19" s="41">
        <v>2356</v>
      </c>
      <c r="I19" s="28">
        <f t="shared" si="2"/>
        <v>1.952652429828879E-4</v>
      </c>
      <c r="J19" s="26"/>
      <c r="K19" s="41">
        <v>2011</v>
      </c>
      <c r="L19" s="28">
        <f t="shared" si="3"/>
        <v>-1.4832270532325097E-2</v>
      </c>
      <c r="M19" s="26"/>
      <c r="N19" s="41">
        <v>1595.07</v>
      </c>
      <c r="O19" s="28">
        <f t="shared" si="4"/>
        <v>5.702499208474255E-3</v>
      </c>
      <c r="P19" s="26"/>
      <c r="Q19" s="23"/>
      <c r="R19" s="28" t="str">
        <f t="shared" si="5"/>
        <v/>
      </c>
      <c r="S19" s="27"/>
    </row>
    <row r="20" spans="1:19" x14ac:dyDescent="0.3">
      <c r="A20" s="24"/>
      <c r="B20">
        <v>57.02</v>
      </c>
      <c r="C20" s="42">
        <f t="shared" si="0"/>
        <v>8.984469842774007E-3</v>
      </c>
      <c r="D20" s="26"/>
      <c r="E20" s="41">
        <v>4478.37</v>
      </c>
      <c r="F20" s="28">
        <f t="shared" si="1"/>
        <v>9.5128343197686503E-3</v>
      </c>
      <c r="G20" s="26"/>
      <c r="H20" s="41">
        <v>2355.54</v>
      </c>
      <c r="I20" s="28">
        <f t="shared" si="2"/>
        <v>-7.3807628233791764E-3</v>
      </c>
      <c r="J20" s="26"/>
      <c r="K20" s="41">
        <v>2041.05</v>
      </c>
      <c r="L20" s="28">
        <f t="shared" si="3"/>
        <v>-1.6014728484495561E-2</v>
      </c>
      <c r="M20" s="26"/>
      <c r="N20" s="41">
        <v>1586</v>
      </c>
      <c r="O20" s="28">
        <f t="shared" si="4"/>
        <v>-1.5624609413397471E-3</v>
      </c>
      <c r="P20" s="26"/>
      <c r="Q20" s="23"/>
      <c r="R20" s="28" t="str">
        <f t="shared" si="5"/>
        <v/>
      </c>
      <c r="S20" s="27"/>
    </row>
    <row r="21" spans="1:19" x14ac:dyDescent="0.3">
      <c r="A21" s="24"/>
      <c r="B21">
        <v>56.51</v>
      </c>
      <c r="C21" s="42">
        <f t="shared" si="0"/>
        <v>3.0180124225794944E-2</v>
      </c>
      <c r="D21" s="26"/>
      <c r="E21" s="41">
        <v>4435.97</v>
      </c>
      <c r="F21" s="28">
        <f t="shared" si="1"/>
        <v>2.4472110163458575E-2</v>
      </c>
      <c r="G21" s="26"/>
      <c r="H21" s="41">
        <v>2372.9899999999998</v>
      </c>
      <c r="I21" s="28">
        <f t="shared" si="2"/>
        <v>1.0161124247590081E-3</v>
      </c>
      <c r="J21" s="26"/>
      <c r="K21" s="41">
        <v>2074</v>
      </c>
      <c r="L21" s="28">
        <f t="shared" si="3"/>
        <v>6.7391470006483295E-3</v>
      </c>
      <c r="M21" s="26"/>
      <c r="N21" s="41">
        <v>1588.48</v>
      </c>
      <c r="O21" s="28">
        <f t="shared" si="4"/>
        <v>-1.0788442213527956E-2</v>
      </c>
      <c r="P21" s="26"/>
      <c r="Q21" s="23"/>
      <c r="R21" s="28" t="str">
        <f t="shared" si="5"/>
        <v/>
      </c>
      <c r="S21" s="27"/>
    </row>
    <row r="22" spans="1:19" x14ac:dyDescent="0.3">
      <c r="A22" s="24"/>
      <c r="B22">
        <v>54.83</v>
      </c>
      <c r="C22" s="42">
        <f t="shared" si="0"/>
        <v>1.2664205229801825E-2</v>
      </c>
      <c r="D22" s="26"/>
      <c r="E22" s="41">
        <v>4328.7299999999996</v>
      </c>
      <c r="F22" s="28">
        <f t="shared" si="1"/>
        <v>6.7963924692464942E-3</v>
      </c>
      <c r="G22" s="26"/>
      <c r="H22" s="41">
        <v>2370.58</v>
      </c>
      <c r="I22" s="28">
        <f t="shared" si="2"/>
        <v>-3.9658367384057267E-3</v>
      </c>
      <c r="J22" s="26"/>
      <c r="K22" s="41">
        <v>2060.0700000000002</v>
      </c>
      <c r="L22" s="28">
        <f t="shared" si="3"/>
        <v>-1.2028892444077663E-2</v>
      </c>
      <c r="M22" s="26"/>
      <c r="N22" s="41">
        <v>1605.71</v>
      </c>
      <c r="O22" s="28">
        <f t="shared" si="4"/>
        <v>-4.0460848316513365E-3</v>
      </c>
      <c r="P22" s="26"/>
      <c r="Q22" s="23"/>
      <c r="R22" s="28" t="str">
        <f t="shared" si="5"/>
        <v/>
      </c>
      <c r="S22" s="27"/>
    </row>
    <row r="23" spans="1:19" x14ac:dyDescent="0.3">
      <c r="A23" s="24"/>
      <c r="B23">
        <v>54.14</v>
      </c>
      <c r="C23" s="42">
        <f t="shared" si="0"/>
        <v>4.4428062712036876E-3</v>
      </c>
      <c r="D23" s="26"/>
      <c r="E23" s="41">
        <v>4299.41</v>
      </c>
      <c r="F23" s="28">
        <f t="shared" si="1"/>
        <v>1.5330631270460277E-2</v>
      </c>
      <c r="G23" s="26"/>
      <c r="H23" s="41">
        <v>2380</v>
      </c>
      <c r="I23" s="28">
        <f t="shared" si="2"/>
        <v>4.2025636256278842E-4</v>
      </c>
      <c r="J23" s="26"/>
      <c r="K23" s="41">
        <v>2085</v>
      </c>
      <c r="L23" s="28">
        <f t="shared" si="3"/>
        <v>-3.8295882130978901E-3</v>
      </c>
      <c r="M23" s="26"/>
      <c r="N23" s="41">
        <v>1612.22</v>
      </c>
      <c r="O23" s="28">
        <f t="shared" si="4"/>
        <v>7.6084819534396721E-3</v>
      </c>
      <c r="P23" s="26"/>
      <c r="Q23" s="23"/>
      <c r="R23" s="28" t="str">
        <f t="shared" si="5"/>
        <v/>
      </c>
      <c r="S23" s="27"/>
    </row>
    <row r="24" spans="1:19" x14ac:dyDescent="0.3">
      <c r="A24" s="24"/>
      <c r="B24">
        <v>53.9</v>
      </c>
      <c r="C24" s="42">
        <f t="shared" si="0"/>
        <v>8.9452702331366419E-3</v>
      </c>
      <c r="D24" s="26"/>
      <c r="E24" s="41">
        <v>4234</v>
      </c>
      <c r="F24" s="28">
        <f t="shared" si="1"/>
        <v>4.0395498459268238E-4</v>
      </c>
      <c r="G24" s="26"/>
      <c r="H24" s="41">
        <v>2379</v>
      </c>
      <c r="I24" s="28">
        <f t="shared" si="2"/>
        <v>-1.4604891354519168E-2</v>
      </c>
      <c r="J24" s="26"/>
      <c r="K24" s="41">
        <v>2093</v>
      </c>
      <c r="L24" s="28">
        <f t="shared" si="3"/>
        <v>3.3500868852820269E-3</v>
      </c>
      <c r="M24" s="26"/>
      <c r="N24" s="41">
        <v>1600</v>
      </c>
      <c r="O24" s="28">
        <f t="shared" si="4"/>
        <v>0</v>
      </c>
      <c r="P24" s="26"/>
      <c r="Q24" s="23"/>
      <c r="R24" s="28" t="str">
        <f t="shared" si="5"/>
        <v/>
      </c>
      <c r="S24" s="27"/>
    </row>
    <row r="25" spans="1:19" x14ac:dyDescent="0.3">
      <c r="A25" s="24"/>
      <c r="B25">
        <v>53.42</v>
      </c>
      <c r="C25" s="42">
        <f t="shared" si="0"/>
        <v>-1.6707275568625817E-2</v>
      </c>
      <c r="D25" s="26"/>
      <c r="E25" s="41">
        <v>4232.29</v>
      </c>
      <c r="F25" s="28">
        <f t="shared" si="1"/>
        <v>-2.3930005566795685E-3</v>
      </c>
      <c r="G25" s="26"/>
      <c r="H25" s="41">
        <v>2414</v>
      </c>
      <c r="I25" s="28">
        <f t="shared" si="2"/>
        <v>-5.7827505219120827E-3</v>
      </c>
      <c r="J25" s="26"/>
      <c r="K25" s="41">
        <v>2086</v>
      </c>
      <c r="L25" s="28">
        <f t="shared" si="3"/>
        <v>3.3613477027049274E-3</v>
      </c>
      <c r="M25" s="26"/>
      <c r="N25" s="41">
        <v>1600</v>
      </c>
      <c r="O25" s="28">
        <f t="shared" si="4"/>
        <v>-9.950330853168092E-3</v>
      </c>
      <c r="P25" s="26"/>
      <c r="Q25" s="23"/>
      <c r="R25" s="28" t="str">
        <f t="shared" si="5"/>
        <v/>
      </c>
      <c r="S25" s="27"/>
    </row>
    <row r="26" spans="1:19" x14ac:dyDescent="0.3">
      <c r="A26" s="24"/>
      <c r="B26">
        <v>54.32</v>
      </c>
      <c r="C26" s="42">
        <f t="shared" si="0"/>
        <v>1.4837067430467574E-2</v>
      </c>
      <c r="D26" s="26"/>
      <c r="E26" s="41">
        <v>4242.43</v>
      </c>
      <c r="F26" s="28">
        <f t="shared" si="1"/>
        <v>-1.1085244459844426E-2</v>
      </c>
      <c r="G26" s="26"/>
      <c r="H26" s="41">
        <v>2428</v>
      </c>
      <c r="I26" s="28">
        <f t="shared" si="2"/>
        <v>1.4770827008986799E-2</v>
      </c>
      <c r="J26" s="26"/>
      <c r="K26" s="41">
        <v>2079</v>
      </c>
      <c r="L26" s="28">
        <f t="shared" si="3"/>
        <v>-5.0330081845733864E-3</v>
      </c>
      <c r="M26" s="26"/>
      <c r="N26" s="41">
        <v>1616</v>
      </c>
      <c r="O26" s="28">
        <f t="shared" si="4"/>
        <v>4.9627893421290972E-3</v>
      </c>
      <c r="P26" s="26"/>
      <c r="Q26" s="23"/>
      <c r="R26" s="28" t="str">
        <f t="shared" si="5"/>
        <v/>
      </c>
      <c r="S26" s="27"/>
    </row>
    <row r="27" spans="1:19" x14ac:dyDescent="0.3">
      <c r="A27" s="24"/>
      <c r="B27">
        <v>53.52</v>
      </c>
      <c r="C27" s="42">
        <f t="shared" si="0"/>
        <v>5.0576112304386422E-3</v>
      </c>
      <c r="D27" s="26"/>
      <c r="E27" s="41">
        <v>4289.72</v>
      </c>
      <c r="F27" s="28">
        <f t="shared" si="1"/>
        <v>4.9634398356951784E-2</v>
      </c>
      <c r="G27" s="26"/>
      <c r="H27" s="41">
        <v>2392.4</v>
      </c>
      <c r="I27" s="28">
        <f t="shared" si="2"/>
        <v>1.7456276630332408E-2</v>
      </c>
      <c r="J27" s="26"/>
      <c r="K27" s="41">
        <v>2089.4899999999998</v>
      </c>
      <c r="L27" s="28">
        <f t="shared" si="3"/>
        <v>2.1033349531014576E-2</v>
      </c>
      <c r="M27" s="26"/>
      <c r="N27" s="41">
        <v>1608</v>
      </c>
      <c r="O27" s="28">
        <f t="shared" si="4"/>
        <v>-4.3437859178451967E-3</v>
      </c>
      <c r="P27" s="26"/>
      <c r="Q27" s="23"/>
      <c r="R27" s="28" t="str">
        <f t="shared" si="5"/>
        <v/>
      </c>
      <c r="S27" s="27"/>
    </row>
    <row r="28" spans="1:19" x14ac:dyDescent="0.3">
      <c r="A28" s="24"/>
      <c r="B28">
        <v>53.25</v>
      </c>
      <c r="C28" s="42">
        <f t="shared" si="0"/>
        <v>-4.4969159536243086E-3</v>
      </c>
      <c r="D28" s="26"/>
      <c r="E28" s="41">
        <v>4082</v>
      </c>
      <c r="F28" s="28">
        <f t="shared" si="1"/>
        <v>7.151922761534534E-3</v>
      </c>
      <c r="G28" s="26"/>
      <c r="H28" s="41">
        <v>2351</v>
      </c>
      <c r="I28" s="28">
        <f t="shared" si="2"/>
        <v>-8.4710375253359733E-3</v>
      </c>
      <c r="J28" s="26"/>
      <c r="K28" s="41">
        <v>2046</v>
      </c>
      <c r="L28" s="28">
        <f t="shared" si="3"/>
        <v>3.215870888598097E-2</v>
      </c>
      <c r="M28" s="26"/>
      <c r="N28" s="41">
        <v>1615</v>
      </c>
      <c r="O28" s="28">
        <f t="shared" si="4"/>
        <v>1.9501619971851337E-2</v>
      </c>
      <c r="P28" s="26"/>
      <c r="Q28" s="23"/>
      <c r="R28" s="28" t="str">
        <f t="shared" si="5"/>
        <v/>
      </c>
      <c r="S28" s="27"/>
    </row>
    <row r="29" spans="1:19" x14ac:dyDescent="0.3">
      <c r="A29" s="24"/>
      <c r="B29">
        <v>53.49</v>
      </c>
      <c r="C29" s="42">
        <f t="shared" si="0"/>
        <v>3.0368627163510561E-2</v>
      </c>
      <c r="D29" s="26"/>
      <c r="E29" s="41">
        <v>4052.91</v>
      </c>
      <c r="F29" s="28">
        <f t="shared" si="1"/>
        <v>6.3678234562476537E-4</v>
      </c>
      <c r="G29" s="26"/>
      <c r="H29" s="41">
        <v>2371</v>
      </c>
      <c r="I29" s="28">
        <f t="shared" si="2"/>
        <v>4.6544253428628338E-3</v>
      </c>
      <c r="J29" s="26"/>
      <c r="K29" s="41">
        <v>1981.25</v>
      </c>
      <c r="L29" s="28">
        <f t="shared" si="3"/>
        <v>1.5709493834113121E-3</v>
      </c>
      <c r="M29" s="26"/>
      <c r="N29" s="41">
        <v>1583.81</v>
      </c>
      <c r="O29" s="28">
        <f t="shared" si="4"/>
        <v>2.8050920277230777E-2</v>
      </c>
      <c r="P29" s="26"/>
      <c r="Q29" s="23"/>
      <c r="R29" s="28" t="str">
        <f t="shared" si="5"/>
        <v/>
      </c>
      <c r="S29" s="27"/>
    </row>
    <row r="30" spans="1:19" x14ac:dyDescent="0.3">
      <c r="A30" s="24"/>
      <c r="B30">
        <v>51.89</v>
      </c>
      <c r="C30" s="42">
        <f t="shared" si="0"/>
        <v>-2.7185401930859613E-2</v>
      </c>
      <c r="D30" s="26"/>
      <c r="E30" s="41">
        <v>4050.33</v>
      </c>
      <c r="F30" s="28">
        <f t="shared" si="1"/>
        <v>-1.4712256632636646E-2</v>
      </c>
      <c r="G30" s="26"/>
      <c r="H30" s="41">
        <v>2359.9899999999998</v>
      </c>
      <c r="I30" s="28">
        <f t="shared" si="2"/>
        <v>1.7090196062187191E-2</v>
      </c>
      <c r="J30" s="26"/>
      <c r="K30" s="41">
        <v>1978.14</v>
      </c>
      <c r="L30" s="28">
        <f t="shared" si="3"/>
        <v>-3.2262306575442753E-2</v>
      </c>
      <c r="M30" s="26"/>
      <c r="N30" s="41">
        <v>1540</v>
      </c>
      <c r="O30" s="28">
        <f t="shared" si="4"/>
        <v>4.1106125790812666E-2</v>
      </c>
      <c r="P30" s="26"/>
      <c r="Q30" s="23"/>
      <c r="R30" s="28" t="str">
        <f t="shared" si="5"/>
        <v/>
      </c>
      <c r="S30" s="27"/>
    </row>
    <row r="31" spans="1:19" x14ac:dyDescent="0.3">
      <c r="A31" s="24"/>
      <c r="B31">
        <v>53.32</v>
      </c>
      <c r="C31" s="42">
        <f t="shared" si="0"/>
        <v>-8.2182009043860992E-3</v>
      </c>
      <c r="D31" s="26"/>
      <c r="E31" s="41">
        <v>4110.3599999999997</v>
      </c>
      <c r="F31" s="28">
        <f t="shared" si="1"/>
        <v>1.0759101849680027E-3</v>
      </c>
      <c r="G31" s="26"/>
      <c r="H31" s="41">
        <v>2320</v>
      </c>
      <c r="I31" s="28">
        <f t="shared" si="2"/>
        <v>3.1526253646773951E-2</v>
      </c>
      <c r="J31" s="26"/>
      <c r="K31" s="41">
        <v>2043</v>
      </c>
      <c r="L31" s="28">
        <f t="shared" si="3"/>
        <v>2.8393653719634593E-4</v>
      </c>
      <c r="M31" s="26"/>
      <c r="N31" s="41">
        <v>1477.98</v>
      </c>
      <c r="O31" s="28">
        <f t="shared" si="4"/>
        <v>-5.0751252858002808E-3</v>
      </c>
      <c r="P31" s="26"/>
      <c r="Q31" s="23"/>
      <c r="R31" s="28" t="str">
        <f t="shared" si="5"/>
        <v/>
      </c>
      <c r="S31" s="27"/>
    </row>
    <row r="32" spans="1:19" x14ac:dyDescent="0.3">
      <c r="A32" s="24"/>
      <c r="B32">
        <v>53.76</v>
      </c>
      <c r="C32" s="42">
        <f t="shared" si="0"/>
        <v>-2.3167059281534418E-2</v>
      </c>
      <c r="D32" s="26"/>
      <c r="E32" s="41">
        <v>4105.9399999999996</v>
      </c>
      <c r="F32" s="28">
        <f t="shared" si="1"/>
        <v>-4.3015627267902106E-3</v>
      </c>
      <c r="G32" s="26"/>
      <c r="H32" s="41">
        <v>2248</v>
      </c>
      <c r="I32" s="28">
        <f t="shared" si="2"/>
        <v>-4.0831958883422059E-2</v>
      </c>
      <c r="J32" s="26"/>
      <c r="K32" s="41">
        <v>2042.42</v>
      </c>
      <c r="L32" s="28">
        <f t="shared" si="3"/>
        <v>-1.9956376520321008E-3</v>
      </c>
      <c r="M32" s="26"/>
      <c r="N32" s="41">
        <v>1485.5</v>
      </c>
      <c r="O32" s="28">
        <f t="shared" si="4"/>
        <v>-5.6597278086489539E-2</v>
      </c>
      <c r="P32" s="26"/>
      <c r="Q32" s="23"/>
      <c r="R32" s="28" t="str">
        <f t="shared" si="5"/>
        <v/>
      </c>
      <c r="S32" s="27"/>
    </row>
    <row r="33" spans="1:19" x14ac:dyDescent="0.3">
      <c r="A33" s="24"/>
      <c r="B33">
        <v>55.02</v>
      </c>
      <c r="C33" s="42">
        <f t="shared" si="0"/>
        <v>-3.6343812865965666E-4</v>
      </c>
      <c r="D33" s="26"/>
      <c r="E33" s="41">
        <v>4123.6400000000003</v>
      </c>
      <c r="F33" s="28">
        <f t="shared" si="1"/>
        <v>-4.6296886883827604E-2</v>
      </c>
      <c r="G33" s="26"/>
      <c r="H33" s="41">
        <v>2341.69</v>
      </c>
      <c r="I33" s="28">
        <f t="shared" si="2"/>
        <v>4.3745451653688198E-2</v>
      </c>
      <c r="J33" s="26"/>
      <c r="K33" s="41">
        <v>2046.5</v>
      </c>
      <c r="L33" s="28">
        <f t="shared" si="3"/>
        <v>8.0902978003835994E-3</v>
      </c>
      <c r="M33" s="26"/>
      <c r="N33" s="23">
        <v>1572</v>
      </c>
      <c r="O33" s="28">
        <f t="shared" si="4"/>
        <v>1.3532630217772698E-2</v>
      </c>
      <c r="P33" s="26"/>
      <c r="Q33" s="23"/>
      <c r="R33" s="28" t="str">
        <f t="shared" si="5"/>
        <v/>
      </c>
      <c r="S33" s="27"/>
    </row>
    <row r="34" spans="1:19" x14ac:dyDescent="0.3">
      <c r="A34" s="24"/>
      <c r="B34">
        <v>55.04</v>
      </c>
      <c r="C34" s="42">
        <f t="shared" si="0"/>
        <v>-2.3522046860697133E-2</v>
      </c>
      <c r="D34" s="26"/>
      <c r="E34" s="41">
        <v>4319.04</v>
      </c>
      <c r="F34" s="28">
        <f t="shared" si="1"/>
        <v>-1.6200395189667163E-2</v>
      </c>
      <c r="G34" s="26"/>
      <c r="H34" s="41">
        <v>2241.46</v>
      </c>
      <c r="I34" s="28">
        <f t="shared" si="2"/>
        <v>6.0439491773203451E-2</v>
      </c>
      <c r="J34" s="26"/>
      <c r="K34" s="41">
        <v>2030.01</v>
      </c>
      <c r="L34" s="28">
        <f t="shared" si="3"/>
        <v>-1.2191332218766634E-2</v>
      </c>
      <c r="M34" s="26"/>
      <c r="N34" s="23">
        <v>1550.87</v>
      </c>
      <c r="O34" s="28">
        <f t="shared" si="4"/>
        <v>-1.2705316077607469E-2</v>
      </c>
      <c r="P34" s="26"/>
      <c r="Q34" s="23"/>
      <c r="R34" s="28" t="str">
        <f t="shared" si="5"/>
        <v/>
      </c>
      <c r="S34" s="27"/>
    </row>
    <row r="35" spans="1:19" x14ac:dyDescent="0.3">
      <c r="A35" s="24"/>
      <c r="B35">
        <v>56.35</v>
      </c>
      <c r="C35" s="42">
        <f t="shared" si="0"/>
        <v>1.357891152040726E-2</v>
      </c>
      <c r="D35" s="26"/>
      <c r="E35" s="41">
        <v>4389.58</v>
      </c>
      <c r="F35" s="28">
        <f t="shared" si="1"/>
        <v>2.3541399911968623E-2</v>
      </c>
      <c r="G35" s="26"/>
      <c r="H35" s="41">
        <v>2110</v>
      </c>
      <c r="I35" s="28">
        <f t="shared" si="2"/>
        <v>1.5936744530663481E-2</v>
      </c>
      <c r="J35" s="26"/>
      <c r="K35" s="41">
        <v>2054.91</v>
      </c>
      <c r="L35" s="28">
        <f t="shared" si="3"/>
        <v>6.0641654337601235E-2</v>
      </c>
      <c r="M35" s="26"/>
      <c r="N35" s="23">
        <v>1570.7</v>
      </c>
      <c r="O35" s="28">
        <f t="shared" si="4"/>
        <v>-3.4701292583824311E-3</v>
      </c>
      <c r="P35" s="26"/>
      <c r="Q35" s="23"/>
      <c r="R35" s="28" t="str">
        <f t="shared" si="5"/>
        <v/>
      </c>
      <c r="S35" s="27"/>
    </row>
    <row r="36" spans="1:19" x14ac:dyDescent="0.3">
      <c r="A36" s="24"/>
      <c r="B36">
        <v>55.59</v>
      </c>
      <c r="C36" s="42">
        <f t="shared" si="0"/>
        <v>5.5921495059637625E-3</v>
      </c>
      <c r="D36" s="26"/>
      <c r="E36" s="41">
        <v>4287.45</v>
      </c>
      <c r="F36" s="28">
        <f t="shared" si="1"/>
        <v>2.1836952068305358E-2</v>
      </c>
      <c r="G36" s="26"/>
      <c r="H36" s="41">
        <v>2076.64</v>
      </c>
      <c r="I36" s="28">
        <f t="shared" si="2"/>
        <v>1.5245839786699321E-2</v>
      </c>
      <c r="J36" s="26"/>
      <c r="K36" s="41">
        <v>1934</v>
      </c>
      <c r="L36" s="28">
        <f t="shared" si="3"/>
        <v>1.6684432907903918E-2</v>
      </c>
      <c r="M36" s="26"/>
      <c r="N36" s="23">
        <v>1576.16</v>
      </c>
      <c r="O36" s="28">
        <f t="shared" si="4"/>
        <v>1.3213758358748271E-2</v>
      </c>
      <c r="P36" s="26"/>
      <c r="Q36" s="23"/>
      <c r="R36" s="28" t="str">
        <f t="shared" si="5"/>
        <v/>
      </c>
      <c r="S36" s="27"/>
    </row>
    <row r="37" spans="1:19" x14ac:dyDescent="0.3">
      <c r="A37" s="24"/>
      <c r="B37">
        <v>55.28</v>
      </c>
      <c r="C37" s="42">
        <f t="shared" si="0"/>
        <v>-1.3654542009391714E-2</v>
      </c>
      <c r="D37" s="26"/>
      <c r="E37" s="41">
        <v>4194.84</v>
      </c>
      <c r="F37" s="28">
        <f t="shared" si="1"/>
        <v>-1.3816960847322951E-3</v>
      </c>
      <c r="G37" s="26"/>
      <c r="H37" s="41">
        <v>2045.22</v>
      </c>
      <c r="I37" s="28">
        <f t="shared" si="2"/>
        <v>2.2358182610667118E-2</v>
      </c>
      <c r="J37" s="26"/>
      <c r="K37" s="41">
        <v>1902</v>
      </c>
      <c r="L37" s="28">
        <f t="shared" si="3"/>
        <v>-1.279373018695823E-2</v>
      </c>
      <c r="M37" s="26"/>
      <c r="N37" s="23">
        <v>1555.47</v>
      </c>
      <c r="O37" s="28">
        <f t="shared" si="4"/>
        <v>1.4583767194753423E-2</v>
      </c>
      <c r="P37" s="26"/>
      <c r="Q37" s="23"/>
      <c r="R37" s="28" t="str">
        <f t="shared" si="5"/>
        <v/>
      </c>
      <c r="S37" s="27"/>
    </row>
    <row r="38" spans="1:19" x14ac:dyDescent="0.3">
      <c r="A38" s="24"/>
      <c r="B38">
        <v>56.04</v>
      </c>
      <c r="C38" s="42">
        <f t="shared" si="0"/>
        <v>-1.0700910598444044E-3</v>
      </c>
      <c r="D38" s="26"/>
      <c r="E38" s="41">
        <v>4200.6400000000003</v>
      </c>
      <c r="F38" s="28">
        <f t="shared" si="1"/>
        <v>9.1859062950247934E-3</v>
      </c>
      <c r="G38" s="26"/>
      <c r="H38" s="41">
        <v>2000</v>
      </c>
      <c r="I38" s="28">
        <f t="shared" si="2"/>
        <v>1.7654935238720745E-2</v>
      </c>
      <c r="J38" s="26"/>
      <c r="K38" s="41">
        <v>1926.49</v>
      </c>
      <c r="L38" s="28">
        <f t="shared" si="3"/>
        <v>-1.110351091018656E-2</v>
      </c>
      <c r="M38" s="26"/>
      <c r="N38" s="23">
        <v>1532.95</v>
      </c>
      <c r="O38" s="28">
        <f t="shared" si="4"/>
        <v>1.3013630447342675E-2</v>
      </c>
      <c r="P38" s="26"/>
      <c r="Q38" s="23"/>
      <c r="R38" s="28" t="str">
        <f t="shared" si="5"/>
        <v/>
      </c>
      <c r="S38" s="27"/>
    </row>
    <row r="39" spans="1:19" x14ac:dyDescent="0.3">
      <c r="A39" s="24"/>
      <c r="B39">
        <v>56.1</v>
      </c>
      <c r="C39" s="42">
        <f t="shared" si="0"/>
        <v>8.9166301048186386E-4</v>
      </c>
      <c r="D39" s="26"/>
      <c r="E39" s="41">
        <v>4162.2299999999996</v>
      </c>
      <c r="F39" s="28">
        <f t="shared" si="1"/>
        <v>8.1586433852670337E-3</v>
      </c>
      <c r="G39" s="26"/>
      <c r="H39" s="41">
        <v>1965</v>
      </c>
      <c r="I39" s="28">
        <f t="shared" si="2"/>
        <v>-7.1297391822096922E-3</v>
      </c>
      <c r="J39" s="26"/>
      <c r="K39" s="41">
        <v>1948</v>
      </c>
      <c r="L39" s="28">
        <f t="shared" si="3"/>
        <v>-5.5426115329852645E-4</v>
      </c>
      <c r="M39" s="26"/>
      <c r="N39" s="23">
        <v>1513.13</v>
      </c>
      <c r="O39" s="28">
        <f t="shared" si="4"/>
        <v>-2.6004898820998156E-3</v>
      </c>
      <c r="P39" s="26"/>
      <c r="Q39" s="23"/>
      <c r="R39" s="28" t="str">
        <f t="shared" si="5"/>
        <v/>
      </c>
      <c r="S39" s="27"/>
    </row>
    <row r="40" spans="1:19" x14ac:dyDescent="0.3">
      <c r="A40" s="24"/>
      <c r="B40">
        <v>56.05</v>
      </c>
      <c r="C40" s="42">
        <f t="shared" si="0"/>
        <v>2.8586762365620765E-3</v>
      </c>
      <c r="D40" s="26"/>
      <c r="E40" s="41">
        <v>4128.41</v>
      </c>
      <c r="F40" s="28">
        <f t="shared" si="1"/>
        <v>3.3114132605630425E-2</v>
      </c>
      <c r="G40" s="26"/>
      <c r="H40" s="41">
        <v>1979.06</v>
      </c>
      <c r="I40" s="28">
        <f t="shared" si="2"/>
        <v>2.0965471034859798E-2</v>
      </c>
      <c r="J40" s="26"/>
      <c r="K40" s="41">
        <v>1949.08</v>
      </c>
      <c r="L40" s="28">
        <f t="shared" si="3"/>
        <v>-2.5789714186303374E-2</v>
      </c>
      <c r="M40" s="26"/>
      <c r="N40" s="23">
        <v>1517.07</v>
      </c>
      <c r="O40" s="28">
        <f t="shared" si="4"/>
        <v>-2.8545798526807512E-2</v>
      </c>
      <c r="P40" s="26"/>
      <c r="Q40" s="23"/>
      <c r="R40" s="28" t="str">
        <f t="shared" si="5"/>
        <v/>
      </c>
      <c r="S40" s="27"/>
    </row>
    <row r="41" spans="1:19" x14ac:dyDescent="0.3">
      <c r="A41" s="24"/>
      <c r="B41">
        <v>55.89</v>
      </c>
      <c r="C41" s="42">
        <f t="shared" si="0"/>
        <v>-7.1314261943284541E-3</v>
      </c>
      <c r="D41" s="26"/>
      <c r="E41" s="41">
        <v>3993.94</v>
      </c>
      <c r="F41" s="28">
        <f t="shared" si="1"/>
        <v>1.4585286393019165E-2</v>
      </c>
      <c r="G41" s="26"/>
      <c r="H41" s="41">
        <v>1938</v>
      </c>
      <c r="I41" s="28">
        <f t="shared" si="2"/>
        <v>1.979210103579146E-2</v>
      </c>
      <c r="J41" s="26"/>
      <c r="K41" s="41">
        <v>2000</v>
      </c>
      <c r="L41" s="28">
        <f t="shared" si="3"/>
        <v>2.9433960034656922E-2</v>
      </c>
      <c r="M41" s="26"/>
      <c r="N41" s="23">
        <v>1561</v>
      </c>
      <c r="O41" s="28">
        <f t="shared" si="4"/>
        <v>5.5760554585803481E-3</v>
      </c>
      <c r="P41" s="26"/>
      <c r="Q41" s="23"/>
      <c r="R41" s="28" t="str">
        <f t="shared" si="5"/>
        <v/>
      </c>
      <c r="S41" s="27"/>
    </row>
    <row r="42" spans="1:19" x14ac:dyDescent="0.3">
      <c r="A42" s="24"/>
      <c r="B42">
        <v>56.29</v>
      </c>
      <c r="C42" s="42">
        <f t="shared" si="0"/>
        <v>6.7736444373812116E-3</v>
      </c>
      <c r="D42" s="26"/>
      <c r="E42" s="41">
        <v>3936.11</v>
      </c>
      <c r="F42" s="28">
        <f t="shared" si="1"/>
        <v>-1.9278881731665871E-2</v>
      </c>
      <c r="G42" s="26"/>
      <c r="H42" s="41">
        <v>1900.02</v>
      </c>
      <c r="I42" s="28">
        <f t="shared" si="2"/>
        <v>-1.9792101035791498E-2</v>
      </c>
      <c r="J42" s="26"/>
      <c r="K42" s="41">
        <v>1941.99</v>
      </c>
      <c r="L42" s="28">
        <f t="shared" si="3"/>
        <v>-1.0439705916820847E-2</v>
      </c>
      <c r="M42" s="26"/>
      <c r="N42" s="23">
        <v>1552.32</v>
      </c>
      <c r="O42" s="28">
        <f t="shared" si="4"/>
        <v>-1.7433725708761606E-2</v>
      </c>
      <c r="P42" s="26"/>
      <c r="Q42" s="23"/>
      <c r="R42" s="28" t="str">
        <f t="shared" si="5"/>
        <v/>
      </c>
      <c r="S42" s="27"/>
    </row>
    <row r="43" spans="1:19" x14ac:dyDescent="0.3">
      <c r="A43" s="24"/>
      <c r="B43">
        <v>55.91</v>
      </c>
      <c r="C43" s="42">
        <f t="shared" si="0"/>
        <v>1.6046499542125253E-2</v>
      </c>
      <c r="D43" s="26"/>
      <c r="E43" s="41">
        <v>4012.73</v>
      </c>
      <c r="F43" s="28">
        <f t="shared" si="1"/>
        <v>7.3546264232621963E-2</v>
      </c>
      <c r="G43" s="26"/>
      <c r="H43" s="41">
        <v>1938</v>
      </c>
      <c r="I43" s="28">
        <f t="shared" si="2"/>
        <v>5.7388298494109886E-3</v>
      </c>
      <c r="J43" s="26"/>
      <c r="K43" s="41">
        <v>1962.37</v>
      </c>
      <c r="L43" s="28">
        <f t="shared" si="3"/>
        <v>1.2033511718822917E-3</v>
      </c>
      <c r="M43" s="26"/>
      <c r="N43" s="23">
        <v>1579.62</v>
      </c>
      <c r="O43" s="28">
        <f t="shared" si="4"/>
        <v>2.670144070002391E-2</v>
      </c>
      <c r="P43" s="26"/>
      <c r="Q43" s="23"/>
      <c r="R43" s="28" t="str">
        <f t="shared" si="5"/>
        <v/>
      </c>
      <c r="S43" s="27"/>
    </row>
    <row r="44" spans="1:19" x14ac:dyDescent="0.3">
      <c r="A44" s="24"/>
      <c r="B44">
        <v>55.02</v>
      </c>
      <c r="C44" s="42">
        <f t="shared" si="0"/>
        <v>-2.7225717879108867E-3</v>
      </c>
      <c r="D44" s="26"/>
      <c r="E44" s="41">
        <v>3728.2</v>
      </c>
      <c r="F44" s="28">
        <f t="shared" si="1"/>
        <v>-4.1006946033233085E-2</v>
      </c>
      <c r="G44" s="26"/>
      <c r="H44" s="41">
        <v>1926.91</v>
      </c>
      <c r="I44" s="28">
        <f t="shared" si="2"/>
        <v>-1.6023192976306506E-3</v>
      </c>
      <c r="J44" s="26"/>
      <c r="K44" s="41">
        <v>1960.01</v>
      </c>
      <c r="L44" s="28">
        <f t="shared" si="3"/>
        <v>-3.5599641366952524E-3</v>
      </c>
      <c r="M44" s="26"/>
      <c r="N44" s="23">
        <v>1538</v>
      </c>
      <c r="O44" s="28">
        <f t="shared" si="4"/>
        <v>-3.5632150736483684E-3</v>
      </c>
      <c r="P44" s="26"/>
      <c r="Q44" s="23"/>
      <c r="R44" s="28" t="str">
        <f t="shared" si="5"/>
        <v/>
      </c>
      <c r="S44" s="27"/>
    </row>
    <row r="45" spans="1:19" x14ac:dyDescent="0.3">
      <c r="A45" s="24"/>
      <c r="B45">
        <v>55.17</v>
      </c>
      <c r="C45" s="42">
        <f t="shared" si="0"/>
        <v>-1.3145052876713957E-2</v>
      </c>
      <c r="D45" s="26"/>
      <c r="E45" s="41">
        <v>3884.26</v>
      </c>
      <c r="F45" s="28">
        <f t="shared" si="1"/>
        <v>1.241630905359456E-2</v>
      </c>
      <c r="G45" s="26"/>
      <c r="H45" s="41">
        <v>1930</v>
      </c>
      <c r="I45" s="28">
        <f t="shared" si="2"/>
        <v>1.0368067284403084E-3</v>
      </c>
      <c r="J45" s="26"/>
      <c r="K45" s="41">
        <v>1967</v>
      </c>
      <c r="L45" s="28">
        <f t="shared" si="3"/>
        <v>1.3203200857997944E-2</v>
      </c>
      <c r="M45" s="26"/>
      <c r="N45" s="23">
        <v>1543.49</v>
      </c>
      <c r="O45" s="28">
        <f t="shared" si="4"/>
        <v>-2.1979047562764472E-2</v>
      </c>
      <c r="P45" s="26"/>
      <c r="Q45" s="23"/>
      <c r="R45" s="28" t="str">
        <f t="shared" si="5"/>
        <v/>
      </c>
      <c r="S45" s="27"/>
    </row>
    <row r="46" spans="1:19" x14ac:dyDescent="0.3">
      <c r="A46" s="24"/>
      <c r="B46">
        <v>55.9</v>
      </c>
      <c r="C46" s="42">
        <f t="shared" si="0"/>
        <v>-1.913594890870874E-2</v>
      </c>
      <c r="D46" s="26"/>
      <c r="E46" s="41">
        <v>3836.33</v>
      </c>
      <c r="F46" s="28">
        <f t="shared" si="1"/>
        <v>1.585093214939241E-2</v>
      </c>
      <c r="G46" s="26"/>
      <c r="H46" s="41">
        <v>1928</v>
      </c>
      <c r="I46" s="28">
        <f t="shared" si="2"/>
        <v>0</v>
      </c>
      <c r="J46" s="26"/>
      <c r="K46" s="41">
        <v>1941.2</v>
      </c>
      <c r="L46" s="28">
        <f t="shared" si="3"/>
        <v>5.7863356321298885E-3</v>
      </c>
      <c r="M46" s="26"/>
      <c r="N46" s="23">
        <v>1577.79</v>
      </c>
      <c r="O46" s="28">
        <f t="shared" si="4"/>
        <v>-6.4502291050789013E-3</v>
      </c>
      <c r="P46" s="26"/>
      <c r="Q46" s="23"/>
      <c r="R46" s="28" t="str">
        <f t="shared" si="5"/>
        <v/>
      </c>
      <c r="S46" s="27"/>
    </row>
    <row r="47" spans="1:19" x14ac:dyDescent="0.3">
      <c r="A47" s="24"/>
      <c r="B47">
        <v>56.98</v>
      </c>
      <c r="C47" s="42">
        <f t="shared" si="0"/>
        <v>-1.753463538873471E-3</v>
      </c>
      <c r="D47" s="26"/>
      <c r="E47" s="41">
        <v>3776</v>
      </c>
      <c r="F47" s="28">
        <f t="shared" si="1"/>
        <v>5.6888201884433345E-3</v>
      </c>
      <c r="G47" s="26"/>
      <c r="H47" s="41">
        <v>1928</v>
      </c>
      <c r="I47" s="28">
        <f t="shared" si="2"/>
        <v>1.4576679822004683E-2</v>
      </c>
      <c r="J47" s="26"/>
      <c r="K47" s="41">
        <v>1930</v>
      </c>
      <c r="L47" s="28">
        <f t="shared" si="3"/>
        <v>-2.5873235649509123E-3</v>
      </c>
      <c r="M47" s="26"/>
      <c r="N47" s="23">
        <v>1588</v>
      </c>
      <c r="O47" s="28">
        <f t="shared" si="4"/>
        <v>9.4907387488032784E-3</v>
      </c>
      <c r="P47" s="26"/>
      <c r="Q47" s="23"/>
      <c r="R47" s="28" t="str">
        <f t="shared" si="5"/>
        <v/>
      </c>
      <c r="S47" s="27"/>
    </row>
    <row r="48" spans="1:19" x14ac:dyDescent="0.3">
      <c r="A48" s="24"/>
      <c r="B48">
        <v>57.08</v>
      </c>
      <c r="C48" s="42">
        <f t="shared" si="0"/>
        <v>-3.5115484031310651E-2</v>
      </c>
      <c r="D48" s="26"/>
      <c r="E48" s="41">
        <v>3754.58</v>
      </c>
      <c r="F48" s="28">
        <f t="shared" si="1"/>
        <v>1.5346558158602733E-2</v>
      </c>
      <c r="G48" s="26"/>
      <c r="H48" s="41">
        <v>1900.1</v>
      </c>
      <c r="I48" s="28">
        <f t="shared" si="2"/>
        <v>4.3090443069363771E-3</v>
      </c>
      <c r="J48" s="26"/>
      <c r="K48" s="41">
        <v>1935</v>
      </c>
      <c r="L48" s="28">
        <f t="shared" si="3"/>
        <v>1.9036195200027813E-3</v>
      </c>
      <c r="M48" s="26"/>
      <c r="N48" s="23">
        <v>1573</v>
      </c>
      <c r="O48" s="28">
        <f t="shared" si="4"/>
        <v>5.1507223277932055E-4</v>
      </c>
      <c r="P48" s="26"/>
      <c r="Q48" s="23"/>
      <c r="R48" s="28" t="str">
        <f t="shared" si="5"/>
        <v/>
      </c>
      <c r="S48" s="27"/>
    </row>
    <row r="49" spans="1:19" x14ac:dyDescent="0.3">
      <c r="A49" s="24"/>
      <c r="B49">
        <v>59.12</v>
      </c>
      <c r="C49" s="42">
        <f t="shared" si="0"/>
        <v>-4.0118093253949466E-2</v>
      </c>
      <c r="D49" s="26"/>
      <c r="E49" s="41">
        <v>3697.4</v>
      </c>
      <c r="F49" s="28">
        <f t="shared" si="1"/>
        <v>9.5166606349099056E-3</v>
      </c>
      <c r="G49" s="26"/>
      <c r="H49" s="41">
        <v>1891.93</v>
      </c>
      <c r="I49" s="28">
        <f t="shared" si="2"/>
        <v>-9.5057699991257065E-3</v>
      </c>
      <c r="J49" s="26"/>
      <c r="K49" s="41">
        <v>1931.32</v>
      </c>
      <c r="L49" s="28">
        <f t="shared" si="3"/>
        <v>5.8785209220520527E-3</v>
      </c>
      <c r="M49" s="26"/>
      <c r="N49" s="23">
        <v>1572.19</v>
      </c>
      <c r="O49" s="28">
        <f t="shared" si="4"/>
        <v>-1.126446438877873E-2</v>
      </c>
      <c r="P49" s="26"/>
      <c r="Q49" s="23"/>
      <c r="R49" s="28" t="str">
        <f t="shared" si="5"/>
        <v/>
      </c>
      <c r="S49" s="27"/>
    </row>
    <row r="50" spans="1:19" x14ac:dyDescent="0.3">
      <c r="A50" s="24"/>
      <c r="B50">
        <v>61.54</v>
      </c>
      <c r="C50" s="42">
        <f t="shared" si="0"/>
        <v>2.0355266160756048E-2</v>
      </c>
      <c r="D50" s="26"/>
      <c r="E50" s="41">
        <v>3662.38</v>
      </c>
      <c r="F50" s="28">
        <f t="shared" si="1"/>
        <v>-3.3328900270442136E-2</v>
      </c>
      <c r="G50" s="26"/>
      <c r="H50" s="41">
        <v>1910</v>
      </c>
      <c r="I50" s="28">
        <f t="shared" si="2"/>
        <v>-1.0079916567820202E-2</v>
      </c>
      <c r="J50" s="26"/>
      <c r="K50" s="41">
        <v>1920</v>
      </c>
      <c r="L50" s="28">
        <f t="shared" si="3"/>
        <v>1.5743065976845553E-2</v>
      </c>
      <c r="M50" s="26"/>
      <c r="N50" s="23">
        <v>1590</v>
      </c>
      <c r="O50" s="28">
        <f t="shared" si="4"/>
        <v>-1.9346240025163046E-2</v>
      </c>
      <c r="P50" s="26"/>
      <c r="Q50" s="23"/>
      <c r="R50" s="28" t="str">
        <f t="shared" si="5"/>
        <v/>
      </c>
      <c r="S50" s="27"/>
    </row>
    <row r="51" spans="1:19" x14ac:dyDescent="0.3">
      <c r="A51" s="24"/>
      <c r="B51">
        <v>60.3</v>
      </c>
      <c r="C51" s="42">
        <f t="shared" si="0"/>
        <v>4.4876664693879768E-3</v>
      </c>
      <c r="D51" s="26"/>
      <c r="E51" s="41">
        <v>3786.5</v>
      </c>
      <c r="F51" s="28">
        <f t="shared" si="1"/>
        <v>3.6856427493628372E-3</v>
      </c>
      <c r="G51" s="26"/>
      <c r="H51" s="41">
        <v>1929.35</v>
      </c>
      <c r="I51" s="28">
        <f t="shared" si="2"/>
        <v>2.2571908866111409E-3</v>
      </c>
      <c r="J51" s="26"/>
      <c r="K51" s="41">
        <v>1890.01</v>
      </c>
      <c r="L51" s="28">
        <f t="shared" si="3"/>
        <v>-2.1088747010417665E-3</v>
      </c>
      <c r="M51" s="26"/>
      <c r="N51" s="23">
        <v>1621.06</v>
      </c>
      <c r="O51" s="28">
        <f t="shared" si="4"/>
        <v>-7.7365189503648983E-3</v>
      </c>
      <c r="P51" s="26"/>
      <c r="Q51" s="23"/>
      <c r="R51" s="28" t="str">
        <f t="shared" si="5"/>
        <v/>
      </c>
      <c r="S51" s="27"/>
    </row>
    <row r="52" spans="1:19" x14ac:dyDescent="0.3">
      <c r="A52" s="24"/>
      <c r="B52">
        <v>60.03</v>
      </c>
      <c r="C52" s="42">
        <f t="shared" si="0"/>
        <v>3.6715662072861351E-3</v>
      </c>
      <c r="D52" s="26"/>
      <c r="E52" s="41">
        <v>3772.57</v>
      </c>
      <c r="F52" s="28">
        <f t="shared" si="1"/>
        <v>3.5290171187051821E-3</v>
      </c>
      <c r="G52" s="26"/>
      <c r="H52" s="41">
        <v>1925</v>
      </c>
      <c r="I52" s="28">
        <f t="shared" si="2"/>
        <v>-2.5940351770466466E-3</v>
      </c>
      <c r="J52" s="26"/>
      <c r="K52" s="41">
        <v>1894</v>
      </c>
      <c r="L52" s="28">
        <f t="shared" si="3"/>
        <v>-3.6785479085242431E-3</v>
      </c>
      <c r="M52" s="26"/>
      <c r="N52" s="23">
        <v>1633.65</v>
      </c>
      <c r="O52" s="28">
        <f t="shared" si="4"/>
        <v>-6.2364428739029474E-3</v>
      </c>
      <c r="P52" s="26"/>
      <c r="Q52" s="23"/>
      <c r="R52" s="28" t="str">
        <f t="shared" si="5"/>
        <v/>
      </c>
      <c r="S52" s="27"/>
    </row>
    <row r="53" spans="1:19" x14ac:dyDescent="0.3">
      <c r="A53" s="24"/>
      <c r="B53">
        <v>59.81</v>
      </c>
      <c r="C53" s="42">
        <f t="shared" si="0"/>
        <v>4.5245154688354243E-3</v>
      </c>
      <c r="D53" s="26"/>
      <c r="E53" s="41">
        <v>3759.28</v>
      </c>
      <c r="F53" s="28">
        <f t="shared" si="1"/>
        <v>5.6473136019441188E-3</v>
      </c>
      <c r="G53" s="26"/>
      <c r="H53" s="41">
        <v>1930</v>
      </c>
      <c r="I53" s="28">
        <f t="shared" si="2"/>
        <v>1.0401054175323486E-2</v>
      </c>
      <c r="J53" s="26"/>
      <c r="K53" s="41">
        <v>1900.98</v>
      </c>
      <c r="L53" s="28">
        <f t="shared" si="3"/>
        <v>1.3707551338875013E-2</v>
      </c>
      <c r="M53" s="26"/>
      <c r="N53" s="23">
        <v>1643.87</v>
      </c>
      <c r="O53" s="28">
        <f t="shared" si="4"/>
        <v>-1.111287225851343E-2</v>
      </c>
      <c r="P53" s="26"/>
      <c r="Q53" s="23"/>
      <c r="R53" s="28" t="str">
        <f t="shared" si="5"/>
        <v/>
      </c>
      <c r="S53" s="27"/>
    </row>
    <row r="54" spans="1:19" x14ac:dyDescent="0.3">
      <c r="A54" s="24"/>
      <c r="B54">
        <v>59.54</v>
      </c>
      <c r="C54" s="42">
        <f t="shared" si="0"/>
        <v>9.2804175726464155E-3</v>
      </c>
      <c r="D54" s="26"/>
      <c r="E54" s="41">
        <v>3738.11</v>
      </c>
      <c r="F54" s="28">
        <f t="shared" si="1"/>
        <v>3.18313743238882E-3</v>
      </c>
      <c r="G54" s="26"/>
      <c r="H54" s="41">
        <v>1910.03</v>
      </c>
      <c r="I54" s="28">
        <f t="shared" si="2"/>
        <v>-7.4069389769371831E-3</v>
      </c>
      <c r="J54" s="26"/>
      <c r="K54" s="41">
        <v>1875.1</v>
      </c>
      <c r="L54" s="28">
        <f t="shared" si="3"/>
        <v>2.1584812813871337E-2</v>
      </c>
      <c r="M54" s="26"/>
      <c r="N54" s="23">
        <v>1662.24</v>
      </c>
      <c r="O54" s="28">
        <f t="shared" si="4"/>
        <v>-7.073776304325978E-3</v>
      </c>
      <c r="P54" s="26"/>
      <c r="Q54" s="23"/>
      <c r="R54" s="28" t="str">
        <f t="shared" si="5"/>
        <v/>
      </c>
      <c r="S54" s="27"/>
    </row>
    <row r="55" spans="1:19" x14ac:dyDescent="0.3">
      <c r="A55" s="24"/>
      <c r="B55">
        <v>58.99</v>
      </c>
      <c r="C55" s="42">
        <f t="shared" si="0"/>
        <v>0</v>
      </c>
      <c r="D55" s="26"/>
      <c r="E55" s="41">
        <v>3726.23</v>
      </c>
      <c r="F55" s="28">
        <f t="shared" si="1"/>
        <v>8.8549707190758008E-3</v>
      </c>
      <c r="G55" s="26"/>
      <c r="H55" s="41">
        <v>1924.23</v>
      </c>
      <c r="I55" s="28">
        <f t="shared" si="2"/>
        <v>3.7719940415185116E-2</v>
      </c>
      <c r="J55" s="26"/>
      <c r="K55" s="41">
        <v>1835.06</v>
      </c>
      <c r="L55" s="28">
        <f t="shared" si="3"/>
        <v>5.7780468539115064E-4</v>
      </c>
      <c r="M55" s="26"/>
      <c r="N55" s="23">
        <v>1674.04</v>
      </c>
      <c r="O55" s="28">
        <f t="shared" si="4"/>
        <v>3.2974224107790641E-2</v>
      </c>
      <c r="P55" s="26"/>
      <c r="Q55" s="23"/>
      <c r="R55" s="28" t="str">
        <f t="shared" si="5"/>
        <v/>
      </c>
      <c r="S55" s="27"/>
    </row>
    <row r="56" spans="1:19" x14ac:dyDescent="0.3">
      <c r="A56" s="24"/>
      <c r="B56">
        <v>58.99</v>
      </c>
      <c r="C56" s="42">
        <f t="shared" si="0"/>
        <v>3.5662770242125569E-3</v>
      </c>
      <c r="D56" s="26"/>
      <c r="E56" s="41">
        <v>3693.38</v>
      </c>
      <c r="F56" s="28">
        <f t="shared" si="1"/>
        <v>1.3141767705432969E-2</v>
      </c>
      <c r="G56" s="26"/>
      <c r="H56" s="41">
        <v>1853</v>
      </c>
      <c r="I56" s="28">
        <f t="shared" si="2"/>
        <v>7.9919152090280627E-3</v>
      </c>
      <c r="J56" s="26"/>
      <c r="K56" s="41">
        <v>1834</v>
      </c>
      <c r="L56" s="28">
        <f t="shared" si="3"/>
        <v>-1.6391637614191119E-2</v>
      </c>
      <c r="M56" s="26"/>
      <c r="N56" s="23">
        <v>1619.74</v>
      </c>
      <c r="O56" s="28">
        <f t="shared" si="4"/>
        <v>2.9274661201601795E-2</v>
      </c>
      <c r="P56" s="26"/>
      <c r="Q56" s="23"/>
      <c r="R56" s="28" t="str">
        <f t="shared" si="5"/>
        <v/>
      </c>
      <c r="S56" s="27"/>
    </row>
    <row r="57" spans="1:19" x14ac:dyDescent="0.3">
      <c r="A57" s="24"/>
      <c r="B57">
        <v>58.78</v>
      </c>
      <c r="C57" s="42">
        <f t="shared" si="0"/>
        <v>-1.0660901376878723E-2</v>
      </c>
      <c r="D57" s="26"/>
      <c r="E57" s="41">
        <v>3645.16</v>
      </c>
      <c r="F57" s="28">
        <f t="shared" si="1"/>
        <v>-2.8134730958620209E-3</v>
      </c>
      <c r="G57" s="26"/>
      <c r="H57" s="41">
        <v>1838.25</v>
      </c>
      <c r="I57" s="28">
        <f t="shared" si="2"/>
        <v>8.8847217456939059E-3</v>
      </c>
      <c r="J57" s="26"/>
      <c r="K57" s="41">
        <v>1864.31</v>
      </c>
      <c r="L57" s="28">
        <f t="shared" si="3"/>
        <v>5.006315389065652E-3</v>
      </c>
      <c r="M57" s="26"/>
      <c r="N57" s="23">
        <v>1573.01</v>
      </c>
      <c r="O57" s="28">
        <f t="shared" si="4"/>
        <v>-3.8260861065420575E-3</v>
      </c>
      <c r="P57" s="26"/>
      <c r="Q57" s="23"/>
      <c r="R57" s="28" t="str">
        <f t="shared" si="5"/>
        <v/>
      </c>
      <c r="S57" s="27"/>
    </row>
    <row r="58" spans="1:19" x14ac:dyDescent="0.3">
      <c r="A58" s="24"/>
      <c r="B58">
        <v>59.41</v>
      </c>
      <c r="C58" s="42">
        <f t="shared" si="0"/>
        <v>-2.6895292729460433E-3</v>
      </c>
      <c r="D58" s="26"/>
      <c r="E58" s="41">
        <v>3655.43</v>
      </c>
      <c r="F58" s="28">
        <f t="shared" si="1"/>
        <v>6.4633127950442541E-3</v>
      </c>
      <c r="G58" s="26"/>
      <c r="H58" s="41">
        <v>1821.99</v>
      </c>
      <c r="I58" s="28">
        <f t="shared" si="2"/>
        <v>7.9569731630293079E-3</v>
      </c>
      <c r="J58" s="26"/>
      <c r="K58" s="41">
        <v>1855</v>
      </c>
      <c r="L58" s="28">
        <f t="shared" si="3"/>
        <v>2.8233890223986831E-3</v>
      </c>
      <c r="M58" s="26"/>
      <c r="N58" s="23">
        <v>1579.04</v>
      </c>
      <c r="O58" s="28">
        <f t="shared" si="4"/>
        <v>-1.3192811784644418E-2</v>
      </c>
      <c r="P58" s="26"/>
      <c r="Q58" s="23"/>
      <c r="R58" s="28" t="str">
        <f t="shared" si="5"/>
        <v/>
      </c>
      <c r="S58" s="27"/>
    </row>
    <row r="59" spans="1:19" x14ac:dyDescent="0.3">
      <c r="A59" s="24"/>
      <c r="B59">
        <v>59.57</v>
      </c>
      <c r="C59" s="42">
        <f t="shared" si="0"/>
        <v>5.5214989547112396E-2</v>
      </c>
      <c r="D59" s="26"/>
      <c r="E59" s="41">
        <v>3631.88</v>
      </c>
      <c r="F59" s="28">
        <f t="shared" si="1"/>
        <v>6.319694884997033E-3</v>
      </c>
      <c r="G59" s="26"/>
      <c r="H59" s="41">
        <v>1807.55</v>
      </c>
      <c r="I59" s="28">
        <f t="shared" si="2"/>
        <v>-9.9637508210672302E-3</v>
      </c>
      <c r="J59" s="26"/>
      <c r="K59" s="41">
        <v>1849.77</v>
      </c>
      <c r="L59" s="28">
        <f t="shared" si="3"/>
        <v>-8.199746058779175E-3</v>
      </c>
      <c r="M59" s="26"/>
      <c r="N59" s="23">
        <v>1600.01</v>
      </c>
      <c r="O59" s="28">
        <f t="shared" si="4"/>
        <v>-7.4657648582322229E-3</v>
      </c>
      <c r="P59" s="26"/>
      <c r="Q59" s="23"/>
      <c r="R59" s="28" t="str">
        <f t="shared" si="5"/>
        <v/>
      </c>
      <c r="S59" s="27"/>
    </row>
    <row r="60" spans="1:19" x14ac:dyDescent="0.3">
      <c r="A60" s="24"/>
      <c r="B60">
        <v>56.37</v>
      </c>
      <c r="C60" s="42">
        <f t="shared" si="0"/>
        <v>-1.1464981391042342E-2</v>
      </c>
      <c r="D60" s="26"/>
      <c r="E60" s="41">
        <v>3609</v>
      </c>
      <c r="F60" s="28">
        <f t="shared" si="1"/>
        <v>2.0912636312013823E-2</v>
      </c>
      <c r="G60" s="26"/>
      <c r="H60" s="41">
        <v>1825.65</v>
      </c>
      <c r="I60" s="28">
        <f t="shared" si="2"/>
        <v>1.8603773453799925E-2</v>
      </c>
      <c r="J60" s="26"/>
      <c r="K60" s="41">
        <v>1865</v>
      </c>
      <c r="L60" s="28">
        <f t="shared" si="3"/>
        <v>8.0754140055453311E-3</v>
      </c>
      <c r="M60" s="26"/>
      <c r="N60" s="23">
        <v>1612</v>
      </c>
      <c r="O60" s="28">
        <f t="shared" si="4"/>
        <v>3.0491184665794899E-2</v>
      </c>
      <c r="P60" s="26"/>
      <c r="Q60" s="23"/>
      <c r="R60" s="28" t="str">
        <f t="shared" si="5"/>
        <v/>
      </c>
      <c r="S60" s="27"/>
    </row>
    <row r="61" spans="1:19" x14ac:dyDescent="0.3">
      <c r="A61" s="24"/>
      <c r="B61">
        <v>57.02</v>
      </c>
      <c r="C61" s="42">
        <f t="shared" si="0"/>
        <v>-1.617848630123472E-2</v>
      </c>
      <c r="D61" s="26"/>
      <c r="E61" s="41">
        <v>3534.31</v>
      </c>
      <c r="F61" s="28">
        <f t="shared" si="1"/>
        <v>1.0612631267398864E-2</v>
      </c>
      <c r="G61" s="26"/>
      <c r="H61" s="41">
        <v>1792</v>
      </c>
      <c r="I61" s="28">
        <f t="shared" si="2"/>
        <v>7.3652264559618454E-3</v>
      </c>
      <c r="J61" s="26"/>
      <c r="K61" s="41">
        <v>1850</v>
      </c>
      <c r="L61" s="28">
        <f t="shared" si="3"/>
        <v>-1.235578437171804E-2</v>
      </c>
      <c r="M61" s="26"/>
      <c r="N61" s="23">
        <v>1563.59</v>
      </c>
      <c r="O61" s="28">
        <f t="shared" si="4"/>
        <v>2.9398693430021865E-3</v>
      </c>
      <c r="P61" s="26"/>
      <c r="Q61" s="23"/>
      <c r="R61" s="28" t="str">
        <f t="shared" si="5"/>
        <v/>
      </c>
      <c r="S61" s="27"/>
    </row>
    <row r="62" spans="1:19" x14ac:dyDescent="0.3">
      <c r="A62" s="24"/>
      <c r="B62">
        <v>57.95</v>
      </c>
      <c r="C62" s="42">
        <f t="shared" si="0"/>
        <v>-1.6769729064061253E-2</v>
      </c>
      <c r="D62" s="26"/>
      <c r="E62" s="41">
        <v>3497</v>
      </c>
      <c r="F62" s="28">
        <f t="shared" si="1"/>
        <v>-2.4674478415611951E-2</v>
      </c>
      <c r="G62" s="26"/>
      <c r="H62" s="41">
        <v>1778.85</v>
      </c>
      <c r="I62" s="28">
        <f t="shared" si="2"/>
        <v>-2.9195514794616257E-2</v>
      </c>
      <c r="J62" s="26"/>
      <c r="K62" s="41">
        <v>1873</v>
      </c>
      <c r="L62" s="28">
        <f t="shared" si="3"/>
        <v>-1.7465381770058953E-2</v>
      </c>
      <c r="M62" s="26"/>
      <c r="N62" s="23">
        <v>1559</v>
      </c>
      <c r="O62" s="28">
        <f t="shared" si="4"/>
        <v>-1.6602906746070321E-2</v>
      </c>
      <c r="P62" s="26"/>
      <c r="Q62" s="23"/>
      <c r="R62" s="28" t="str">
        <f t="shared" si="5"/>
        <v/>
      </c>
      <c r="S62" s="27"/>
    </row>
    <row r="63" spans="1:19" x14ac:dyDescent="0.3">
      <c r="A63" s="24"/>
      <c r="B63">
        <v>58.93</v>
      </c>
      <c r="C63" s="42">
        <f t="shared" si="0"/>
        <v>2.2133527718500721E-2</v>
      </c>
      <c r="D63" s="26"/>
      <c r="E63" s="41">
        <v>3584.36</v>
      </c>
      <c r="F63" s="28">
        <f t="shared" si="1"/>
        <v>1.6671131840679206E-2</v>
      </c>
      <c r="G63" s="26"/>
      <c r="H63" s="41">
        <v>1831.55</v>
      </c>
      <c r="I63" s="28">
        <f t="shared" si="2"/>
        <v>1.7370382449150578E-2</v>
      </c>
      <c r="J63" s="26"/>
      <c r="K63" s="41">
        <v>1906</v>
      </c>
      <c r="L63" s="28">
        <f t="shared" si="3"/>
        <v>-8.6404231910773531E-3</v>
      </c>
      <c r="M63" s="26"/>
      <c r="N63" s="23">
        <v>1585.1</v>
      </c>
      <c r="O63" s="28">
        <f t="shared" si="4"/>
        <v>-3.5832513645950711E-3</v>
      </c>
      <c r="P63" s="26"/>
      <c r="Q63" s="23"/>
      <c r="R63" s="28" t="str">
        <f t="shared" si="5"/>
        <v/>
      </c>
      <c r="S63" s="27"/>
    </row>
    <row r="64" spans="1:19" x14ac:dyDescent="0.3">
      <c r="A64" s="24"/>
      <c r="B64">
        <v>57.64</v>
      </c>
      <c r="C64" s="42">
        <f t="shared" si="0"/>
        <v>-1.2136975915536671E-3</v>
      </c>
      <c r="D64" s="26"/>
      <c r="E64" s="41">
        <v>3525.1</v>
      </c>
      <c r="F64" s="28">
        <f t="shared" si="1"/>
        <v>-1.7978738869487278E-2</v>
      </c>
      <c r="G64" s="26"/>
      <c r="H64" s="41">
        <v>1800.01</v>
      </c>
      <c r="I64" s="28">
        <f t="shared" si="2"/>
        <v>-1.9246811458161397E-2</v>
      </c>
      <c r="J64" s="26"/>
      <c r="K64" s="41">
        <v>1922.54</v>
      </c>
      <c r="L64" s="28">
        <f t="shared" si="3"/>
        <v>6.5439863645492483E-3</v>
      </c>
      <c r="M64" s="26"/>
      <c r="N64" s="23">
        <v>1590.79</v>
      </c>
      <c r="O64" s="28">
        <f t="shared" si="4"/>
        <v>-1.4726428159983779E-2</v>
      </c>
      <c r="P64" s="26"/>
      <c r="Q64" s="23"/>
      <c r="R64" s="28" t="str">
        <f t="shared" si="5"/>
        <v/>
      </c>
      <c r="S64" s="27"/>
    </row>
    <row r="65" spans="1:19" x14ac:dyDescent="0.3">
      <c r="A65" s="24"/>
      <c r="B65">
        <v>57.71</v>
      </c>
      <c r="C65" s="42">
        <f t="shared" si="0"/>
        <v>-2.498418796572761E-2</v>
      </c>
      <c r="D65" s="26"/>
      <c r="E65" s="41">
        <v>3589.05</v>
      </c>
      <c r="F65" s="28">
        <f t="shared" si="1"/>
        <v>-1.9477238394151806E-2</v>
      </c>
      <c r="G65" s="26"/>
      <c r="H65" s="41">
        <v>1834.99</v>
      </c>
      <c r="I65" s="28">
        <f t="shared" si="2"/>
        <v>-2.5274755051792729E-2</v>
      </c>
      <c r="J65" s="26"/>
      <c r="K65" s="41">
        <v>1910</v>
      </c>
      <c r="L65" s="28">
        <f t="shared" si="3"/>
        <v>1.8494582636164311E-2</v>
      </c>
      <c r="M65" s="26"/>
      <c r="N65" s="23">
        <v>1614.39</v>
      </c>
      <c r="O65" s="28">
        <f t="shared" si="4"/>
        <v>-7.6202985728736169E-2</v>
      </c>
      <c r="P65" s="26"/>
      <c r="Q65" s="23"/>
      <c r="R65" s="28" t="str">
        <f t="shared" si="5"/>
        <v/>
      </c>
      <c r="S65" s="27"/>
    </row>
    <row r="66" spans="1:19" x14ac:dyDescent="0.3">
      <c r="A66" s="24"/>
      <c r="B66">
        <v>59.17</v>
      </c>
      <c r="C66" s="42">
        <f t="shared" si="0"/>
        <v>1.7732774975343476E-2</v>
      </c>
      <c r="D66" s="26"/>
      <c r="E66" s="41">
        <v>3659.64</v>
      </c>
      <c r="F66" s="28">
        <f t="shared" si="1"/>
        <v>-1.2385950935076707E-2</v>
      </c>
      <c r="G66" s="26"/>
      <c r="H66" s="41">
        <v>1881.96</v>
      </c>
      <c r="I66" s="28">
        <f t="shared" si="2"/>
        <v>-6.3772078116899151E-3</v>
      </c>
      <c r="J66" s="26"/>
      <c r="K66" s="41">
        <v>1875</v>
      </c>
      <c r="L66" s="28">
        <f t="shared" si="3"/>
        <v>2.3746393730000395E-2</v>
      </c>
      <c r="M66" s="26"/>
      <c r="N66" s="23">
        <v>1742.22</v>
      </c>
      <c r="O66" s="28">
        <f t="shared" si="4"/>
        <v>-1.2718536649635981E-2</v>
      </c>
      <c r="P66" s="26"/>
      <c r="Q66" s="23"/>
      <c r="R66" s="28" t="str">
        <f t="shared" si="5"/>
        <v/>
      </c>
      <c r="S66" s="27"/>
    </row>
    <row r="67" spans="1:19" x14ac:dyDescent="0.3">
      <c r="A67" s="24"/>
      <c r="B67">
        <v>58.13</v>
      </c>
      <c r="C67" s="42">
        <f t="shared" si="0"/>
        <v>-2.6147499820731269E-2</v>
      </c>
      <c r="D67" s="26"/>
      <c r="E67" s="41">
        <v>3705.25</v>
      </c>
      <c r="F67" s="28">
        <f t="shared" si="1"/>
        <v>-1.3574541587298509E-2</v>
      </c>
      <c r="G67" s="26"/>
      <c r="H67" s="41">
        <v>1894</v>
      </c>
      <c r="I67" s="28">
        <f t="shared" si="2"/>
        <v>1.726540526215058E-2</v>
      </c>
      <c r="J67" s="26"/>
      <c r="K67" s="41">
        <v>1831</v>
      </c>
      <c r="L67" s="28">
        <f t="shared" si="3"/>
        <v>-6.5324129953125412E-3</v>
      </c>
      <c r="M67" s="26"/>
      <c r="N67" s="23">
        <v>1764.52</v>
      </c>
      <c r="O67" s="28">
        <f t="shared" si="4"/>
        <v>8.2629107892380517E-3</v>
      </c>
      <c r="P67" s="26"/>
      <c r="Q67" s="23"/>
      <c r="R67" s="28" t="str">
        <f t="shared" si="5"/>
        <v/>
      </c>
      <c r="S67" s="27"/>
    </row>
    <row r="68" spans="1:19" x14ac:dyDescent="0.3">
      <c r="A68" s="24"/>
      <c r="B68">
        <v>59.67</v>
      </c>
      <c r="C68" s="42">
        <f t="shared" si="0"/>
        <v>-1.7937700686667318E-2</v>
      </c>
      <c r="D68" s="26"/>
      <c r="E68" s="41">
        <v>3755.89</v>
      </c>
      <c r="F68" s="28">
        <f t="shared" si="1"/>
        <v>-7.4537340378228335E-3</v>
      </c>
      <c r="G68" s="26"/>
      <c r="H68" s="41">
        <v>1861.58</v>
      </c>
      <c r="I68" s="28">
        <f t="shared" si="2"/>
        <v>2.257809946242172E-2</v>
      </c>
      <c r="J68" s="26"/>
      <c r="K68" s="41">
        <v>1843</v>
      </c>
      <c r="L68" s="28">
        <f t="shared" si="3"/>
        <v>-1.5596673598276491E-2</v>
      </c>
      <c r="M68" s="26"/>
      <c r="N68" s="23">
        <v>1750</v>
      </c>
      <c r="O68" s="28">
        <f t="shared" si="4"/>
        <v>1.5415351196226699E-2</v>
      </c>
      <c r="P68" s="26"/>
      <c r="Q68" s="23"/>
      <c r="R68" s="28" t="str">
        <f t="shared" si="5"/>
        <v/>
      </c>
      <c r="S68" s="27"/>
    </row>
    <row r="69" spans="1:19" x14ac:dyDescent="0.3">
      <c r="A69" s="24"/>
      <c r="B69">
        <v>60.75</v>
      </c>
      <c r="C69" s="42">
        <f t="shared" ref="C69:C132" si="6">LN(B69/B70)</f>
        <v>-1.9883314753358292E-2</v>
      </c>
      <c r="D69" s="26"/>
      <c r="E69" s="41">
        <v>3783.99</v>
      </c>
      <c r="F69" s="28">
        <f t="shared" ref="F69:F132" si="7">LN(E69/E70)</f>
        <v>1.2110596368566361E-2</v>
      </c>
      <c r="G69" s="26"/>
      <c r="H69" s="41">
        <v>1820.02</v>
      </c>
      <c r="I69" s="28">
        <f t="shared" ref="I69:I132" si="8">LN(H69/H70)</f>
        <v>5.5206447615799396E-3</v>
      </c>
      <c r="J69" s="26"/>
      <c r="K69" s="41">
        <v>1871.97</v>
      </c>
      <c r="L69" s="28">
        <f t="shared" ref="L69:L132" si="9">LN(K69/K70)</f>
        <v>2.6531315543262776E-3</v>
      </c>
      <c r="M69" s="26"/>
      <c r="N69" s="23">
        <v>1723.23</v>
      </c>
      <c r="O69" s="28">
        <f t="shared" ref="O69:O132" si="10">LN(N69/N70)</f>
        <v>2.2434872934870984E-2</v>
      </c>
      <c r="P69" s="26"/>
      <c r="Q69" s="23"/>
      <c r="R69" s="28" t="str">
        <f t="shared" ref="R69:R132" si="11">IF(Q69="","",(LN(Q69/Q70)))</f>
        <v/>
      </c>
      <c r="S69" s="27"/>
    </row>
    <row r="70" spans="1:19" x14ac:dyDescent="0.3">
      <c r="A70" s="24"/>
      <c r="B70">
        <v>61.97</v>
      </c>
      <c r="C70" s="42">
        <f t="shared" si="6"/>
        <v>2.2355503898747294E-2</v>
      </c>
      <c r="D70" s="26"/>
      <c r="E70" s="41">
        <v>3738.44</v>
      </c>
      <c r="F70" s="28">
        <f t="shared" si="7"/>
        <v>-6.8855392388469609E-3</v>
      </c>
      <c r="G70" s="26"/>
      <c r="H70" s="41">
        <v>1810</v>
      </c>
      <c r="I70" s="28">
        <f t="shared" si="8"/>
        <v>3.3204236373025474E-3</v>
      </c>
      <c r="J70" s="26"/>
      <c r="K70" s="41">
        <v>1867.01</v>
      </c>
      <c r="L70" s="28">
        <f t="shared" si="9"/>
        <v>4.0359641528376422E-3</v>
      </c>
      <c r="M70" s="26"/>
      <c r="N70" s="23">
        <v>1685</v>
      </c>
      <c r="O70" s="28">
        <f t="shared" si="10"/>
        <v>8.8521210499867761E-3</v>
      </c>
      <c r="P70" s="26"/>
      <c r="Q70" s="23"/>
      <c r="R70" s="28" t="str">
        <f t="shared" si="11"/>
        <v/>
      </c>
      <c r="S70" s="27"/>
    </row>
    <row r="71" spans="1:19" x14ac:dyDescent="0.3">
      <c r="A71" s="24"/>
      <c r="B71">
        <v>60.6</v>
      </c>
      <c r="C71" s="42">
        <f t="shared" si="6"/>
        <v>-5.4307711851342118E-3</v>
      </c>
      <c r="D71" s="26"/>
      <c r="E71" s="41">
        <v>3764.27</v>
      </c>
      <c r="F71" s="28">
        <f t="shared" si="7"/>
        <v>1.8849483773063166E-2</v>
      </c>
      <c r="G71" s="26"/>
      <c r="H71" s="41">
        <v>1804</v>
      </c>
      <c r="I71" s="28">
        <f t="shared" si="8"/>
        <v>-5.2853427474606239E-3</v>
      </c>
      <c r="J71" s="26"/>
      <c r="K71" s="41">
        <v>1859.49</v>
      </c>
      <c r="L71" s="28">
        <f t="shared" si="9"/>
        <v>1.0536684957904569E-2</v>
      </c>
      <c r="M71" s="26"/>
      <c r="N71" s="23">
        <v>1670.15</v>
      </c>
      <c r="O71" s="28">
        <f t="shared" si="10"/>
        <v>-3.6039521067588757E-3</v>
      </c>
      <c r="P71" s="26"/>
      <c r="Q71" s="23"/>
      <c r="R71" s="28" t="str">
        <f t="shared" si="11"/>
        <v/>
      </c>
      <c r="S71" s="27"/>
    </row>
    <row r="72" spans="1:19" x14ac:dyDescent="0.3">
      <c r="A72" s="24"/>
      <c r="B72">
        <v>60.93</v>
      </c>
      <c r="C72" s="42">
        <f t="shared" si="6"/>
        <v>-5.0749065290800381E-3</v>
      </c>
      <c r="D72" s="26"/>
      <c r="E72" s="41">
        <v>3693.98</v>
      </c>
      <c r="F72" s="28">
        <f t="shared" si="7"/>
        <v>1.121320841351049E-2</v>
      </c>
      <c r="G72" s="26"/>
      <c r="H72" s="41">
        <v>1813.56</v>
      </c>
      <c r="I72" s="28">
        <f t="shared" si="8"/>
        <v>7.5050994857735987E-3</v>
      </c>
      <c r="J72" s="26"/>
      <c r="K72" s="41">
        <v>1840</v>
      </c>
      <c r="L72" s="28">
        <f t="shared" si="9"/>
        <v>-3.1719825615159181E-2</v>
      </c>
      <c r="M72" s="26"/>
      <c r="N72" s="23">
        <v>1676.18</v>
      </c>
      <c r="O72" s="28">
        <f t="shared" si="10"/>
        <v>7.2113664665646532E-2</v>
      </c>
      <c r="P72" s="26"/>
      <c r="Q72" s="23"/>
      <c r="R72" s="28" t="str">
        <f t="shared" si="11"/>
        <v/>
      </c>
      <c r="S72" s="27"/>
    </row>
    <row r="73" spans="1:19" x14ac:dyDescent="0.3">
      <c r="A73" s="24"/>
      <c r="B73">
        <v>61.24</v>
      </c>
      <c r="C73" s="42">
        <f t="shared" si="6"/>
        <v>1.6342543267945341E-3</v>
      </c>
      <c r="D73" s="26"/>
      <c r="E73" s="41">
        <v>3652.79</v>
      </c>
      <c r="F73" s="28">
        <f t="shared" si="7"/>
        <v>1.3882641411687864E-2</v>
      </c>
      <c r="G73" s="26"/>
      <c r="H73" s="41">
        <v>1800</v>
      </c>
      <c r="I73" s="28">
        <f t="shared" si="8"/>
        <v>1.1117288526904154E-3</v>
      </c>
      <c r="J73" s="26"/>
      <c r="K73" s="41">
        <v>1899.3</v>
      </c>
      <c r="L73" s="28">
        <f t="shared" si="9"/>
        <v>-1.413124102679666E-2</v>
      </c>
      <c r="M73" s="26"/>
      <c r="N73" s="23">
        <v>1559.56</v>
      </c>
      <c r="O73" s="28">
        <f t="shared" si="10"/>
        <v>-9.8451928556403442E-3</v>
      </c>
      <c r="P73" s="26"/>
      <c r="Q73" s="23"/>
      <c r="R73" s="28" t="str">
        <f t="shared" si="11"/>
        <v/>
      </c>
      <c r="S73" s="27"/>
    </row>
    <row r="74" spans="1:19" x14ac:dyDescent="0.3">
      <c r="A74" s="24"/>
      <c r="B74">
        <v>61.14</v>
      </c>
      <c r="C74" s="42">
        <f t="shared" si="6"/>
        <v>-1.4129345899098101E-2</v>
      </c>
      <c r="D74" s="26"/>
      <c r="E74" s="41">
        <v>3602.43</v>
      </c>
      <c r="F74" s="28">
        <f t="shared" si="7"/>
        <v>7.1316844641956621E-3</v>
      </c>
      <c r="G74" s="26"/>
      <c r="H74" s="41">
        <v>1798</v>
      </c>
      <c r="I74" s="28">
        <f t="shared" si="8"/>
        <v>1.3381683964962761E-2</v>
      </c>
      <c r="J74" s="26"/>
      <c r="K74" s="41">
        <v>1926.33</v>
      </c>
      <c r="L74" s="28">
        <f t="shared" si="9"/>
        <v>-3.627266481996514E-3</v>
      </c>
      <c r="M74" s="26"/>
      <c r="N74" s="23">
        <v>1574.99</v>
      </c>
      <c r="O74" s="28">
        <f t="shared" si="10"/>
        <v>2.3675028802180045E-2</v>
      </c>
      <c r="P74" s="26"/>
      <c r="Q74" s="23"/>
      <c r="R74" s="28" t="str">
        <f t="shared" si="11"/>
        <v/>
      </c>
      <c r="S74" s="27"/>
    </row>
    <row r="75" spans="1:19" x14ac:dyDescent="0.3">
      <c r="A75" s="24"/>
      <c r="B75">
        <v>62.01</v>
      </c>
      <c r="C75" s="42">
        <f t="shared" si="6"/>
        <v>2.2340921027670321E-2</v>
      </c>
      <c r="D75" s="26"/>
      <c r="E75" s="41">
        <v>3576.83</v>
      </c>
      <c r="F75" s="28">
        <f t="shared" si="7"/>
        <v>-4.1904568146912307E-3</v>
      </c>
      <c r="G75" s="26"/>
      <c r="H75" s="41">
        <v>1774.1</v>
      </c>
      <c r="I75" s="28">
        <f t="shared" si="8"/>
        <v>1.8661291381265974E-2</v>
      </c>
      <c r="J75" s="26"/>
      <c r="K75" s="41">
        <v>1933.33</v>
      </c>
      <c r="L75" s="28">
        <f t="shared" si="9"/>
        <v>3.1088681442426821E-2</v>
      </c>
      <c r="M75" s="26"/>
      <c r="N75" s="23">
        <v>1538.14</v>
      </c>
      <c r="O75" s="28">
        <f t="shared" si="10"/>
        <v>1.3022125005599284E-2</v>
      </c>
      <c r="P75" s="26"/>
      <c r="Q75" s="23"/>
      <c r="R75" s="28" t="str">
        <f t="shared" si="11"/>
        <v/>
      </c>
      <c r="S75" s="27"/>
    </row>
    <row r="76" spans="1:19" x14ac:dyDescent="0.3">
      <c r="A76" s="24"/>
      <c r="B76">
        <v>60.64</v>
      </c>
      <c r="C76" s="42">
        <f t="shared" si="6"/>
        <v>-9.5191921831502286E-3</v>
      </c>
      <c r="D76" s="26"/>
      <c r="E76" s="41">
        <v>3591.85</v>
      </c>
      <c r="F76" s="28">
        <f t="shared" si="7"/>
        <v>-1.1080277044398441E-2</v>
      </c>
      <c r="G76" s="26"/>
      <c r="H76" s="41">
        <v>1741.3</v>
      </c>
      <c r="I76" s="28">
        <f t="shared" si="8"/>
        <v>3.0483444650415753E-3</v>
      </c>
      <c r="J76" s="26"/>
      <c r="K76" s="41">
        <v>1874.15</v>
      </c>
      <c r="L76" s="28">
        <f t="shared" si="9"/>
        <v>2.2965321501616391E-2</v>
      </c>
      <c r="M76" s="26"/>
      <c r="N76" s="23">
        <v>1518.24</v>
      </c>
      <c r="O76" s="28">
        <f t="shared" si="10"/>
        <v>-8.6762892169320593E-3</v>
      </c>
      <c r="P76" s="26"/>
      <c r="Q76" s="23"/>
      <c r="R76" s="28" t="str">
        <f t="shared" si="11"/>
        <v/>
      </c>
      <c r="S76" s="27"/>
    </row>
    <row r="77" spans="1:19" x14ac:dyDescent="0.3">
      <c r="A77" s="24"/>
      <c r="B77">
        <v>61.22</v>
      </c>
      <c r="C77" s="42">
        <f t="shared" si="6"/>
        <v>3.9279919571578326E-3</v>
      </c>
      <c r="D77" s="26"/>
      <c r="E77" s="41">
        <v>3631.87</v>
      </c>
      <c r="F77" s="28">
        <f t="shared" si="7"/>
        <v>-8.3118203267128362E-4</v>
      </c>
      <c r="G77" s="26"/>
      <c r="H77" s="41">
        <v>1736</v>
      </c>
      <c r="I77" s="28">
        <f t="shared" si="8"/>
        <v>-5.1709394162320708E-3</v>
      </c>
      <c r="J77" s="26"/>
      <c r="K77" s="41">
        <v>1831.6</v>
      </c>
      <c r="L77" s="28">
        <f t="shared" si="9"/>
        <v>3.6099147663484483E-3</v>
      </c>
      <c r="M77" s="26"/>
      <c r="N77" s="23">
        <v>1531.47</v>
      </c>
      <c r="O77" s="28">
        <f t="shared" si="10"/>
        <v>-1.0444976772114162E-2</v>
      </c>
      <c r="P77" s="26"/>
      <c r="Q77" s="23"/>
      <c r="R77" s="28" t="str">
        <f t="shared" si="11"/>
        <v/>
      </c>
      <c r="S77" s="27"/>
    </row>
    <row r="78" spans="1:19" x14ac:dyDescent="0.3">
      <c r="A78" s="24"/>
      <c r="B78">
        <v>60.98</v>
      </c>
      <c r="C78" s="42">
        <f t="shared" si="6"/>
        <v>1.70350600865854E-2</v>
      </c>
      <c r="D78" s="26"/>
      <c r="E78" s="41">
        <v>3634.89</v>
      </c>
      <c r="F78" s="28">
        <f t="shared" si="7"/>
        <v>5.730453354937967E-3</v>
      </c>
      <c r="G78" s="26"/>
      <c r="H78" s="41">
        <v>1745</v>
      </c>
      <c r="I78" s="28">
        <f t="shared" si="8"/>
        <v>-1.9279989480710712E-2</v>
      </c>
      <c r="J78" s="26"/>
      <c r="K78" s="41">
        <v>1825</v>
      </c>
      <c r="L78" s="28">
        <f t="shared" si="9"/>
        <v>0</v>
      </c>
      <c r="M78" s="26"/>
      <c r="N78" s="23">
        <v>1547.55</v>
      </c>
      <c r="O78" s="28">
        <f t="shared" si="10"/>
        <v>-1.3918390491916687E-2</v>
      </c>
      <c r="P78" s="26"/>
      <c r="Q78" s="23"/>
      <c r="R78" s="28" t="str">
        <f t="shared" si="11"/>
        <v/>
      </c>
      <c r="S78" s="27"/>
    </row>
    <row r="79" spans="1:19" x14ac:dyDescent="0.3">
      <c r="A79" s="24"/>
      <c r="B79">
        <v>59.95</v>
      </c>
      <c r="C79" s="42">
        <f t="shared" si="6"/>
        <v>-1.3749906015123771E-2</v>
      </c>
      <c r="D79" s="26"/>
      <c r="E79" s="41">
        <v>3614.12</v>
      </c>
      <c r="F79" s="28">
        <f t="shared" si="7"/>
        <v>3.902372747615894E-2</v>
      </c>
      <c r="G79" s="26"/>
      <c r="H79" s="41">
        <v>1778.97</v>
      </c>
      <c r="I79" s="28">
        <f t="shared" si="8"/>
        <v>1.3218170261054278E-2</v>
      </c>
      <c r="J79" s="26"/>
      <c r="K79" s="41">
        <v>1825</v>
      </c>
      <c r="L79" s="28">
        <f t="shared" si="9"/>
        <v>-9.9232044849801998E-3</v>
      </c>
      <c r="M79" s="26"/>
      <c r="N79" s="23">
        <v>1569.24</v>
      </c>
      <c r="O79" s="28">
        <f t="shared" si="10"/>
        <v>-8.6166405602551184E-3</v>
      </c>
      <c r="P79" s="26"/>
      <c r="Q79" s="23"/>
      <c r="R79" s="28" t="str">
        <f t="shared" si="11"/>
        <v/>
      </c>
      <c r="S79" s="27"/>
    </row>
    <row r="80" spans="1:19" x14ac:dyDescent="0.3">
      <c r="A80" s="24"/>
      <c r="B80">
        <v>60.78</v>
      </c>
      <c r="C80" s="42">
        <f t="shared" si="6"/>
        <v>1.8096285308088551E-2</v>
      </c>
      <c r="D80" s="26"/>
      <c r="E80" s="41">
        <v>3475.8</v>
      </c>
      <c r="F80" s="28">
        <f t="shared" si="7"/>
        <v>1.1147116685228832E-2</v>
      </c>
      <c r="G80" s="26"/>
      <c r="H80" s="41">
        <v>1755.61</v>
      </c>
      <c r="I80" s="28">
        <f t="shared" si="8"/>
        <v>8.5476909344834977E-4</v>
      </c>
      <c r="J80" s="26"/>
      <c r="K80" s="41">
        <v>1843.2</v>
      </c>
      <c r="L80" s="28">
        <f t="shared" si="9"/>
        <v>-3.6878529615946083E-3</v>
      </c>
      <c r="M80" s="26"/>
      <c r="N80" s="23">
        <v>1582.82</v>
      </c>
      <c r="O80" s="28">
        <f t="shared" si="10"/>
        <v>-2.0745893814374295E-2</v>
      </c>
      <c r="P80" s="26"/>
      <c r="Q80" s="23"/>
      <c r="R80" s="28" t="str">
        <f t="shared" si="11"/>
        <v/>
      </c>
      <c r="S80" s="27"/>
    </row>
    <row r="81" spans="1:19" x14ac:dyDescent="0.3">
      <c r="A81" s="24"/>
      <c r="B81">
        <v>59.69</v>
      </c>
      <c r="C81" s="42">
        <f t="shared" si="6"/>
        <v>-4.1795597079586208E-3</v>
      </c>
      <c r="D81" s="26"/>
      <c r="E81" s="41">
        <v>3437.27</v>
      </c>
      <c r="F81" s="28">
        <f t="shared" si="7"/>
        <v>-2.9192080289385844E-2</v>
      </c>
      <c r="G81" s="26"/>
      <c r="H81" s="41">
        <v>1754.11</v>
      </c>
      <c r="I81" s="28">
        <f t="shared" si="8"/>
        <v>-1.2402038789379708E-2</v>
      </c>
      <c r="J81" s="26"/>
      <c r="K81" s="41">
        <v>1850.01</v>
      </c>
      <c r="L81" s="28">
        <f t="shared" si="9"/>
        <v>-7.4371005959176194E-3</v>
      </c>
      <c r="M81" s="26"/>
      <c r="N81" s="23">
        <v>1616</v>
      </c>
      <c r="O81" s="28">
        <f t="shared" si="10"/>
        <v>2.7947432434986021E-3</v>
      </c>
      <c r="P81" s="26"/>
      <c r="Q81" s="23"/>
      <c r="R81" s="28" t="str">
        <f t="shared" si="11"/>
        <v/>
      </c>
      <c r="S81" s="27"/>
    </row>
    <row r="82" spans="1:19" x14ac:dyDescent="0.3">
      <c r="A82" s="24"/>
      <c r="B82">
        <v>59.94</v>
      </c>
      <c r="C82" s="42">
        <f t="shared" si="6"/>
        <v>-1.0290547240676294E-2</v>
      </c>
      <c r="D82" s="26"/>
      <c r="E82" s="41">
        <v>3539.09</v>
      </c>
      <c r="F82" s="28">
        <f t="shared" si="7"/>
        <v>2.4750750693956127E-2</v>
      </c>
      <c r="G82" s="26"/>
      <c r="H82" s="41">
        <v>1776</v>
      </c>
      <c r="I82" s="28">
        <f t="shared" si="8"/>
        <v>1.6906174779074521E-3</v>
      </c>
      <c r="J82" s="26"/>
      <c r="K82" s="41">
        <v>1863.82</v>
      </c>
      <c r="L82" s="28">
        <f t="shared" si="9"/>
        <v>0</v>
      </c>
      <c r="M82" s="26"/>
      <c r="N82" s="23">
        <v>1611.49</v>
      </c>
      <c r="O82" s="28">
        <f t="shared" si="10"/>
        <v>-9.365822876667198E-4</v>
      </c>
      <c r="P82" s="26"/>
      <c r="Q82" s="23"/>
      <c r="R82" s="28" t="str">
        <f t="shared" si="11"/>
        <v/>
      </c>
      <c r="S82" s="27"/>
    </row>
    <row r="83" spans="1:19" x14ac:dyDescent="0.3">
      <c r="A83" s="24"/>
      <c r="B83">
        <v>60.56</v>
      </c>
      <c r="C83" s="42">
        <f t="shared" si="6"/>
        <v>-2.204710840194735E-2</v>
      </c>
      <c r="D83" s="26"/>
      <c r="E83" s="41">
        <v>3452.57</v>
      </c>
      <c r="F83" s="28">
        <f t="shared" si="7"/>
        <v>-1.276941911172289E-2</v>
      </c>
      <c r="G83" s="26"/>
      <c r="H83" s="41">
        <v>1773</v>
      </c>
      <c r="I83" s="28">
        <f t="shared" si="8"/>
        <v>4.5223367068106942E-3</v>
      </c>
      <c r="J83" s="26"/>
      <c r="K83" s="41">
        <v>1863.82</v>
      </c>
      <c r="L83" s="28">
        <f t="shared" si="9"/>
        <v>-5.9805143454267776E-3</v>
      </c>
      <c r="M83" s="26"/>
      <c r="N83" s="23">
        <v>1613</v>
      </c>
      <c r="O83" s="28">
        <f t="shared" si="10"/>
        <v>2.6569674073969409E-3</v>
      </c>
      <c r="P83" s="26"/>
      <c r="Q83" s="23"/>
      <c r="R83" s="28" t="str">
        <f t="shared" si="11"/>
        <v/>
      </c>
      <c r="S83" s="27"/>
    </row>
    <row r="84" spans="1:19" x14ac:dyDescent="0.3">
      <c r="A84" s="24"/>
      <c r="B84">
        <v>61.91</v>
      </c>
      <c r="C84" s="42">
        <f t="shared" si="6"/>
        <v>-2.3624402764934375E-2</v>
      </c>
      <c r="D84" s="26"/>
      <c r="E84" s="41">
        <v>3496.94</v>
      </c>
      <c r="F84" s="28">
        <f t="shared" si="7"/>
        <v>-5.8891301513085462E-4</v>
      </c>
      <c r="G84" s="26"/>
      <c r="H84" s="41">
        <v>1765</v>
      </c>
      <c r="I84" s="28">
        <f t="shared" si="8"/>
        <v>-1.4064929467403552E-2</v>
      </c>
      <c r="J84" s="26"/>
      <c r="K84" s="41">
        <v>1875</v>
      </c>
      <c r="L84" s="28">
        <f t="shared" si="9"/>
        <v>-2.1257390150158243E-3</v>
      </c>
      <c r="M84" s="26"/>
      <c r="N84" s="23">
        <v>1608.72</v>
      </c>
      <c r="O84" s="28">
        <f t="shared" si="10"/>
        <v>-1.3141183082996043E-2</v>
      </c>
      <c r="P84" s="26"/>
      <c r="Q84" s="23"/>
      <c r="R84" s="28" t="str">
        <f t="shared" si="11"/>
        <v/>
      </c>
      <c r="S84" s="27"/>
    </row>
    <row r="85" spans="1:19" x14ac:dyDescent="0.3">
      <c r="A85" s="24"/>
      <c r="B85">
        <v>63.39</v>
      </c>
      <c r="C85" s="42">
        <f t="shared" si="6"/>
        <v>9.8288679666346454E-3</v>
      </c>
      <c r="D85" s="26"/>
      <c r="E85" s="41">
        <v>3499</v>
      </c>
      <c r="F85" s="28">
        <f t="shared" si="7"/>
        <v>-4.0289110627117898E-4</v>
      </c>
      <c r="G85" s="26"/>
      <c r="H85" s="41">
        <v>1790</v>
      </c>
      <c r="I85" s="28">
        <f t="shared" si="8"/>
        <v>5.6134915668498873E-3</v>
      </c>
      <c r="J85" s="26"/>
      <c r="K85" s="41">
        <v>1878.99</v>
      </c>
      <c r="L85" s="28">
        <f t="shared" si="9"/>
        <v>-2.9610625890174921E-2</v>
      </c>
      <c r="M85" s="26"/>
      <c r="N85" s="23">
        <v>1630</v>
      </c>
      <c r="O85" s="28">
        <f t="shared" si="10"/>
        <v>-2.9221068523271501E-3</v>
      </c>
      <c r="P85" s="26"/>
      <c r="Q85" s="23"/>
      <c r="R85" s="28" t="str">
        <f t="shared" si="11"/>
        <v/>
      </c>
      <c r="S85" s="27"/>
    </row>
    <row r="86" spans="1:19" x14ac:dyDescent="0.3">
      <c r="A86" s="24"/>
      <c r="B86">
        <v>62.77</v>
      </c>
      <c r="C86" s="42">
        <f t="shared" si="6"/>
        <v>4.790810823961913E-3</v>
      </c>
      <c r="D86" s="26"/>
      <c r="E86" s="41">
        <v>3500.41</v>
      </c>
      <c r="F86" s="28">
        <f t="shared" si="7"/>
        <v>2.7209411189767968E-2</v>
      </c>
      <c r="G86" s="26"/>
      <c r="H86" s="41">
        <v>1779.98</v>
      </c>
      <c r="I86" s="28">
        <f t="shared" si="8"/>
        <v>5.6169319985214447E-3</v>
      </c>
      <c r="J86" s="26"/>
      <c r="K86" s="41">
        <v>1935.46</v>
      </c>
      <c r="L86" s="28">
        <f t="shared" si="9"/>
        <v>4.5159385237331401E-2</v>
      </c>
      <c r="M86" s="26"/>
      <c r="N86" s="23">
        <v>1634.77</v>
      </c>
      <c r="O86" s="28">
        <f t="shared" si="10"/>
        <v>-1.0920293830238124E-2</v>
      </c>
      <c r="P86" s="26"/>
      <c r="Q86" s="23"/>
      <c r="R86" s="28" t="str">
        <f t="shared" si="11"/>
        <v/>
      </c>
      <c r="S86" s="27"/>
    </row>
    <row r="87" spans="1:19" x14ac:dyDescent="0.3">
      <c r="A87" s="24"/>
      <c r="B87">
        <v>62.47</v>
      </c>
      <c r="C87" s="42">
        <f t="shared" si="6"/>
        <v>1.5649266693006439E-2</v>
      </c>
      <c r="D87" s="26"/>
      <c r="E87" s="41">
        <v>3406.45</v>
      </c>
      <c r="F87" s="28">
        <f t="shared" si="7"/>
        <v>1.5582625373780279E-2</v>
      </c>
      <c r="G87" s="26"/>
      <c r="H87" s="41">
        <v>1770.01</v>
      </c>
      <c r="I87" s="28">
        <f t="shared" si="8"/>
        <v>9.1490181009287654E-3</v>
      </c>
      <c r="J87" s="26"/>
      <c r="K87" s="41">
        <v>1850</v>
      </c>
      <c r="L87" s="28">
        <f t="shared" si="9"/>
        <v>2.8510703040804858E-2</v>
      </c>
      <c r="M87" s="26"/>
      <c r="N87" s="23">
        <v>1652.72</v>
      </c>
      <c r="O87" s="28">
        <f t="shared" si="10"/>
        <v>1.5610834606133385E-2</v>
      </c>
      <c r="P87" s="26"/>
      <c r="Q87" s="23"/>
      <c r="R87" s="28" t="str">
        <f t="shared" si="11"/>
        <v/>
      </c>
      <c r="S87" s="27"/>
    </row>
    <row r="88" spans="1:19" x14ac:dyDescent="0.3">
      <c r="A88" s="24"/>
      <c r="B88">
        <v>61.5</v>
      </c>
      <c r="C88" s="42">
        <f t="shared" si="6"/>
        <v>-1.4688344133479364E-2</v>
      </c>
      <c r="D88" s="26"/>
      <c r="E88" s="41">
        <v>3353.78</v>
      </c>
      <c r="F88" s="28">
        <f t="shared" si="7"/>
        <v>-1.8420263480019457E-2</v>
      </c>
      <c r="G88" s="26"/>
      <c r="H88" s="41">
        <v>1753.89</v>
      </c>
      <c r="I88" s="28">
        <f t="shared" si="8"/>
        <v>-2.121707957650789E-2</v>
      </c>
      <c r="J88" s="26"/>
      <c r="K88" s="41">
        <v>1798</v>
      </c>
      <c r="L88" s="28">
        <f t="shared" si="9"/>
        <v>5.5632824800661408E-4</v>
      </c>
      <c r="M88" s="26"/>
      <c r="N88" s="23">
        <v>1627.12</v>
      </c>
      <c r="O88" s="28">
        <f t="shared" si="10"/>
        <v>-3.054665879618523E-2</v>
      </c>
      <c r="P88" s="26"/>
      <c r="Q88" s="23"/>
      <c r="R88" s="28" t="str">
        <f t="shared" si="11"/>
        <v/>
      </c>
      <c r="S88" s="27"/>
    </row>
    <row r="89" spans="1:19" x14ac:dyDescent="0.3">
      <c r="A89" s="24"/>
      <c r="B89">
        <v>62.41</v>
      </c>
      <c r="C89" s="42">
        <f t="shared" si="6"/>
        <v>-2.880001990658557E-3</v>
      </c>
      <c r="D89" s="26"/>
      <c r="E89" s="41">
        <v>3416.13</v>
      </c>
      <c r="F89" s="28">
        <f t="shared" si="7"/>
        <v>7.2330814608028591E-3</v>
      </c>
      <c r="G89" s="26"/>
      <c r="H89" s="41">
        <v>1791.5</v>
      </c>
      <c r="I89" s="28">
        <f t="shared" si="8"/>
        <v>1.0808974570588555E-2</v>
      </c>
      <c r="J89" s="26"/>
      <c r="K89" s="41">
        <v>1797</v>
      </c>
      <c r="L89" s="28">
        <f t="shared" si="9"/>
        <v>3.3444847228473501E-3</v>
      </c>
      <c r="M89" s="26"/>
      <c r="N89" s="23">
        <v>1677.59</v>
      </c>
      <c r="O89" s="28">
        <f t="shared" si="10"/>
        <v>2.8612594418318909E-2</v>
      </c>
      <c r="P89" s="26"/>
      <c r="Q89" s="23"/>
      <c r="R89" s="28" t="str">
        <f t="shared" si="11"/>
        <v/>
      </c>
      <c r="S89" s="27"/>
    </row>
    <row r="90" spans="1:19" x14ac:dyDescent="0.3">
      <c r="A90" s="24"/>
      <c r="B90">
        <v>62.59</v>
      </c>
      <c r="C90" s="42">
        <f t="shared" si="6"/>
        <v>-7.9567574461079822E-3</v>
      </c>
      <c r="D90" s="26"/>
      <c r="E90" s="41">
        <v>3391.51</v>
      </c>
      <c r="F90" s="28">
        <f t="shared" si="7"/>
        <v>4.9243710551253967E-3</v>
      </c>
      <c r="G90" s="26"/>
      <c r="H90" s="41">
        <v>1772.24</v>
      </c>
      <c r="I90" s="28">
        <f t="shared" si="8"/>
        <v>2.4782051429430418E-2</v>
      </c>
      <c r="J90" s="26"/>
      <c r="K90" s="41">
        <v>1791</v>
      </c>
      <c r="L90" s="28">
        <f t="shared" si="9"/>
        <v>1.5694827962052058E-2</v>
      </c>
      <c r="M90" s="26"/>
      <c r="N90" s="23">
        <v>1630.27</v>
      </c>
      <c r="O90" s="28">
        <f t="shared" si="10"/>
        <v>1.6432185740343049E-2</v>
      </c>
      <c r="P90" s="26"/>
      <c r="Q90" s="23"/>
      <c r="R90" s="28" t="str">
        <f t="shared" si="11"/>
        <v/>
      </c>
      <c r="S90" s="27"/>
    </row>
    <row r="91" spans="1:19" x14ac:dyDescent="0.3">
      <c r="A91" s="24"/>
      <c r="B91">
        <v>63.09</v>
      </c>
      <c r="C91" s="42">
        <f t="shared" si="6"/>
        <v>6.3421597178953831E-4</v>
      </c>
      <c r="D91" s="26"/>
      <c r="E91" s="41">
        <v>3374.85</v>
      </c>
      <c r="F91" s="28">
        <f t="shared" si="7"/>
        <v>-1.4099285876984407E-2</v>
      </c>
      <c r="G91" s="26"/>
      <c r="H91" s="41">
        <v>1728.86</v>
      </c>
      <c r="I91" s="28">
        <f t="shared" si="8"/>
        <v>-1.0340484980447123E-2</v>
      </c>
      <c r="J91" s="26"/>
      <c r="K91" s="41">
        <v>1763.11</v>
      </c>
      <c r="L91" s="28">
        <f t="shared" si="9"/>
        <v>2.1852244633199635E-2</v>
      </c>
      <c r="M91" s="26"/>
      <c r="N91" s="23">
        <v>1603.7</v>
      </c>
      <c r="O91" s="28">
        <f t="shared" si="10"/>
        <v>-1.0846987949949502E-2</v>
      </c>
      <c r="P91" s="26"/>
      <c r="Q91" s="23"/>
      <c r="R91" s="28" t="str">
        <f t="shared" si="11"/>
        <v/>
      </c>
      <c r="S91" s="27"/>
    </row>
    <row r="92" spans="1:19" x14ac:dyDescent="0.3">
      <c r="A92" s="24"/>
      <c r="B92">
        <v>63.05</v>
      </c>
      <c r="C92" s="42">
        <f t="shared" si="6"/>
        <v>-1.6360283105207023E-2</v>
      </c>
      <c r="D92" s="26"/>
      <c r="E92" s="41">
        <v>3422.77</v>
      </c>
      <c r="F92" s="28">
        <f t="shared" si="7"/>
        <v>-1.6544771997429594E-2</v>
      </c>
      <c r="G92" s="26"/>
      <c r="H92" s="41">
        <v>1746.83</v>
      </c>
      <c r="I92" s="28">
        <f t="shared" si="8"/>
        <v>-7.2104657880033137E-4</v>
      </c>
      <c r="J92" s="26"/>
      <c r="K92" s="41">
        <v>1725</v>
      </c>
      <c r="L92" s="28">
        <f t="shared" si="9"/>
        <v>-2.5763795473604821E-2</v>
      </c>
      <c r="M92" s="26"/>
      <c r="N92" s="23">
        <v>1621.19</v>
      </c>
      <c r="O92" s="28">
        <f t="shared" si="10"/>
        <v>-5.3649889516239673E-4</v>
      </c>
      <c r="P92" s="26"/>
      <c r="Q92" s="23"/>
      <c r="R92" s="28" t="str">
        <f t="shared" si="11"/>
        <v/>
      </c>
      <c r="S92" s="27"/>
    </row>
    <row r="93" spans="1:19" x14ac:dyDescent="0.3">
      <c r="A93" s="24"/>
      <c r="B93">
        <v>64.09</v>
      </c>
      <c r="C93" s="42">
        <f t="shared" si="6"/>
        <v>2.2884293833587806E-2</v>
      </c>
      <c r="D93" s="26"/>
      <c r="E93" s="41">
        <v>3479.87</v>
      </c>
      <c r="F93" s="28">
        <f t="shared" si="7"/>
        <v>2.7076935471968211E-2</v>
      </c>
      <c r="G93" s="26"/>
      <c r="H93" s="41">
        <v>1748.09</v>
      </c>
      <c r="I93" s="28">
        <f t="shared" si="8"/>
        <v>2.904911858437843E-2</v>
      </c>
      <c r="J93" s="26"/>
      <c r="K93" s="41">
        <v>1770.02</v>
      </c>
      <c r="L93" s="28">
        <f t="shared" si="9"/>
        <v>8.5219890390988151E-3</v>
      </c>
      <c r="M93" s="26"/>
      <c r="N93" s="23">
        <v>1622.06</v>
      </c>
      <c r="O93" s="28">
        <f t="shared" si="10"/>
        <v>2.2298989943145751E-2</v>
      </c>
      <c r="P93" s="26"/>
      <c r="Q93" s="23"/>
      <c r="R93" s="28" t="str">
        <f t="shared" si="11"/>
        <v/>
      </c>
      <c r="S93" s="27"/>
    </row>
    <row r="94" spans="1:19" x14ac:dyDescent="0.3">
      <c r="A94" s="24"/>
      <c r="B94">
        <v>62.64</v>
      </c>
      <c r="C94" s="42">
        <f t="shared" si="6"/>
        <v>-4.1421120238471429E-3</v>
      </c>
      <c r="D94" s="26"/>
      <c r="E94" s="41">
        <v>3386.91</v>
      </c>
      <c r="F94" s="28">
        <f t="shared" si="7"/>
        <v>1.982370868086604E-2</v>
      </c>
      <c r="G94" s="26"/>
      <c r="H94" s="41">
        <v>1698.04</v>
      </c>
      <c r="I94" s="28">
        <f t="shared" si="8"/>
        <v>-9.9477018124487031E-4</v>
      </c>
      <c r="J94" s="26"/>
      <c r="K94" s="41">
        <v>1755</v>
      </c>
      <c r="L94" s="28">
        <f t="shared" si="9"/>
        <v>-3.4129725962399574E-3</v>
      </c>
      <c r="M94" s="26"/>
      <c r="N94" s="23">
        <v>1586.29</v>
      </c>
      <c r="O94" s="28">
        <f t="shared" si="10"/>
        <v>1.7353366358952963E-2</v>
      </c>
      <c r="P94" s="26"/>
      <c r="Q94" s="23"/>
      <c r="R94" s="28" t="str">
        <f t="shared" si="11"/>
        <v/>
      </c>
      <c r="S94" s="27"/>
    </row>
    <row r="95" spans="1:19" x14ac:dyDescent="0.3">
      <c r="A95" s="24"/>
      <c r="B95">
        <v>62.9</v>
      </c>
      <c r="C95" s="42">
        <f t="shared" si="6"/>
        <v>-3.1746058407726538E-3</v>
      </c>
      <c r="D95" s="26"/>
      <c r="E95" s="41">
        <v>3320.43</v>
      </c>
      <c r="F95" s="28">
        <f t="shared" si="7"/>
        <v>6.647694925811503E-3</v>
      </c>
      <c r="G95" s="26"/>
      <c r="H95" s="41">
        <v>1699.73</v>
      </c>
      <c r="I95" s="28">
        <f t="shared" si="8"/>
        <v>2.111887855966529E-2</v>
      </c>
      <c r="J95" s="26"/>
      <c r="K95" s="41">
        <v>1761</v>
      </c>
      <c r="L95" s="28">
        <f t="shared" si="9"/>
        <v>-2.8632156137476522E-2</v>
      </c>
      <c r="M95" s="26"/>
      <c r="N95" s="23">
        <v>1559</v>
      </c>
      <c r="O95" s="28">
        <f t="shared" si="10"/>
        <v>4.5066116343395754E-3</v>
      </c>
      <c r="P95" s="26"/>
      <c r="Q95" s="23"/>
      <c r="R95" s="28" t="str">
        <f t="shared" si="11"/>
        <v/>
      </c>
      <c r="S95" s="27"/>
    </row>
    <row r="96" spans="1:19" x14ac:dyDescent="0.3">
      <c r="A96" s="24"/>
      <c r="B96">
        <v>63.1</v>
      </c>
      <c r="C96" s="42">
        <f t="shared" si="6"/>
        <v>-7.9207924933257087E-4</v>
      </c>
      <c r="D96" s="26"/>
      <c r="E96" s="41">
        <v>3298.43</v>
      </c>
      <c r="F96" s="28">
        <f t="shared" si="7"/>
        <v>-4.8571679603126141E-3</v>
      </c>
      <c r="G96" s="26"/>
      <c r="H96" s="41">
        <v>1664.21</v>
      </c>
      <c r="I96" s="28">
        <f t="shared" si="8"/>
        <v>4.6375567950788657E-3</v>
      </c>
      <c r="J96" s="26"/>
      <c r="K96" s="41">
        <v>1812.15</v>
      </c>
      <c r="L96" s="28">
        <f t="shared" si="9"/>
        <v>0.21334157011242577</v>
      </c>
      <c r="M96" s="26"/>
      <c r="N96" s="23">
        <v>1551.99</v>
      </c>
      <c r="O96" s="28">
        <f t="shared" si="10"/>
        <v>9.0421035412271301E-3</v>
      </c>
      <c r="P96" s="26"/>
      <c r="Q96" s="23"/>
      <c r="R96" s="28" t="str">
        <f t="shared" si="11"/>
        <v/>
      </c>
      <c r="S96" s="27"/>
    </row>
    <row r="97" spans="1:19" x14ac:dyDescent="0.3">
      <c r="A97" s="24"/>
      <c r="B97">
        <v>63.15</v>
      </c>
      <c r="C97" s="42">
        <f t="shared" si="6"/>
        <v>6.1949209316682179E-3</v>
      </c>
      <c r="D97" s="26"/>
      <c r="E97" s="41">
        <v>3314.49</v>
      </c>
      <c r="F97" s="28">
        <f t="shared" si="7"/>
        <v>3.5268587527850892E-2</v>
      </c>
      <c r="G97" s="26"/>
      <c r="H97" s="41">
        <v>1656.51</v>
      </c>
      <c r="I97" s="28">
        <f t="shared" si="8"/>
        <v>2.0060914448083479E-2</v>
      </c>
      <c r="J97" s="26"/>
      <c r="K97" s="41">
        <v>1464</v>
      </c>
      <c r="L97" s="28">
        <f t="shared" si="9"/>
        <v>3.192498742918401E-2</v>
      </c>
      <c r="M97" s="26"/>
      <c r="N97" s="23">
        <v>1538.02</v>
      </c>
      <c r="O97" s="28">
        <f t="shared" si="10"/>
        <v>3.8224083778152847E-2</v>
      </c>
      <c r="P97" s="26"/>
      <c r="Q97" s="23"/>
      <c r="R97" s="28" t="str">
        <f t="shared" si="11"/>
        <v/>
      </c>
      <c r="S97" s="27"/>
    </row>
    <row r="98" spans="1:19" x14ac:dyDescent="0.3">
      <c r="A98" s="24"/>
      <c r="B98">
        <v>62.76</v>
      </c>
      <c r="C98" s="42">
        <f t="shared" si="6"/>
        <v>-9.5148196413386201E-3</v>
      </c>
      <c r="D98" s="26"/>
      <c r="E98" s="41">
        <v>3199.63</v>
      </c>
      <c r="F98" s="28">
        <f t="shared" si="7"/>
        <v>-9.0908585659923193E-3</v>
      </c>
      <c r="G98" s="26"/>
      <c r="H98" s="41">
        <v>1623.61</v>
      </c>
      <c r="I98" s="28">
        <f t="shared" si="8"/>
        <v>6.7156893960892267E-4</v>
      </c>
      <c r="J98" s="26"/>
      <c r="K98" s="41">
        <v>1418</v>
      </c>
      <c r="L98" s="28">
        <f t="shared" si="9"/>
        <v>-1.4094435032336043E-3</v>
      </c>
      <c r="M98" s="26"/>
      <c r="N98" s="23">
        <v>1480.34</v>
      </c>
      <c r="O98" s="28">
        <f t="shared" si="10"/>
        <v>-9.0848889417014678E-3</v>
      </c>
      <c r="P98" s="26"/>
      <c r="Q98" s="23"/>
      <c r="R98" s="28" t="str">
        <f t="shared" si="11"/>
        <v/>
      </c>
      <c r="S98" s="27"/>
    </row>
    <row r="99" spans="1:19" x14ac:dyDescent="0.3">
      <c r="A99" s="24"/>
      <c r="B99">
        <v>63.36</v>
      </c>
      <c r="C99" s="42">
        <f t="shared" si="6"/>
        <v>1.1428695823622629E-2</v>
      </c>
      <c r="D99" s="26"/>
      <c r="E99" s="41">
        <v>3228.85</v>
      </c>
      <c r="F99" s="28">
        <f t="shared" si="7"/>
        <v>1.5870821943911404E-2</v>
      </c>
      <c r="G99" s="26"/>
      <c r="H99" s="41">
        <v>1622.52</v>
      </c>
      <c r="I99" s="28">
        <f t="shared" si="8"/>
        <v>-9.5504327998686099E-3</v>
      </c>
      <c r="J99" s="26"/>
      <c r="K99" s="41">
        <v>1420</v>
      </c>
      <c r="L99" s="28">
        <f t="shared" si="9"/>
        <v>-2.9148489714417383E-2</v>
      </c>
      <c r="M99" s="26"/>
      <c r="N99" s="23">
        <v>1493.85</v>
      </c>
      <c r="O99" s="28">
        <f t="shared" si="10"/>
        <v>5.2476032890831498E-2</v>
      </c>
      <c r="P99" s="26"/>
      <c r="Q99" s="23"/>
      <c r="R99" s="28" t="str">
        <f t="shared" si="11"/>
        <v/>
      </c>
      <c r="S99" s="27"/>
    </row>
    <row r="100" spans="1:19" x14ac:dyDescent="0.3">
      <c r="A100" s="24"/>
      <c r="B100">
        <v>62.64</v>
      </c>
      <c r="C100" s="42">
        <f t="shared" si="6"/>
        <v>4.9612008617884963E-3</v>
      </c>
      <c r="D100" s="26"/>
      <c r="E100" s="41">
        <v>3178.01</v>
      </c>
      <c r="F100" s="28">
        <f t="shared" si="7"/>
        <v>1.025056377196595E-2</v>
      </c>
      <c r="G100" s="26"/>
      <c r="H100" s="41">
        <v>1638.09</v>
      </c>
      <c r="I100" s="28">
        <f t="shared" si="8"/>
        <v>1.0746819116294362E-2</v>
      </c>
      <c r="J100" s="26"/>
      <c r="K100" s="41">
        <v>1462</v>
      </c>
      <c r="L100" s="28">
        <f t="shared" si="9"/>
        <v>-8.1744324395580624E-3</v>
      </c>
      <c r="M100" s="26"/>
      <c r="N100" s="23">
        <v>1417.48</v>
      </c>
      <c r="O100" s="28">
        <f t="shared" si="10"/>
        <v>1.2372696903602326E-2</v>
      </c>
      <c r="P100" s="26"/>
      <c r="Q100" s="23"/>
      <c r="R100" s="28" t="str">
        <f t="shared" si="11"/>
        <v/>
      </c>
      <c r="S100" s="27"/>
    </row>
    <row r="101" spans="1:19" x14ac:dyDescent="0.3">
      <c r="A101" s="24"/>
      <c r="B101">
        <v>62.33</v>
      </c>
      <c r="C101" s="42">
        <f t="shared" si="6"/>
        <v>9.186945104238415E-3</v>
      </c>
      <c r="D101" s="26"/>
      <c r="E101" s="41">
        <v>3145.6</v>
      </c>
      <c r="F101" s="28">
        <f t="shared" si="7"/>
        <v>1.5175547696964821E-3</v>
      </c>
      <c r="G101" s="26"/>
      <c r="H101" s="41">
        <v>1620.58</v>
      </c>
      <c r="I101" s="28">
        <f t="shared" si="8"/>
        <v>-3.9537183767965837E-3</v>
      </c>
      <c r="J101" s="26"/>
      <c r="K101" s="41">
        <v>1474</v>
      </c>
      <c r="L101" s="28">
        <f t="shared" si="9"/>
        <v>2.920106433778635E-2</v>
      </c>
      <c r="M101" s="26"/>
      <c r="N101" s="23">
        <v>1400.05</v>
      </c>
      <c r="O101" s="28">
        <f t="shared" si="10"/>
        <v>-4.1128121640711382E-3</v>
      </c>
      <c r="P101" s="26"/>
      <c r="Q101" s="23"/>
      <c r="R101" s="28" t="str">
        <f t="shared" si="11"/>
        <v/>
      </c>
      <c r="S101" s="27"/>
    </row>
    <row r="102" spans="1:19" x14ac:dyDescent="0.3">
      <c r="A102" s="24"/>
      <c r="B102">
        <v>61.76</v>
      </c>
      <c r="C102" s="42">
        <f t="shared" si="6"/>
        <v>1.5008438325428556E-2</v>
      </c>
      <c r="D102" s="26"/>
      <c r="E102" s="41">
        <v>3140.83</v>
      </c>
      <c r="F102" s="28">
        <f t="shared" si="7"/>
        <v>1.695255921155342E-3</v>
      </c>
      <c r="G102" s="26"/>
      <c r="H102" s="41">
        <v>1627</v>
      </c>
      <c r="I102" s="28">
        <f t="shared" si="8"/>
        <v>-1.8270910207525148E-2</v>
      </c>
      <c r="J102" s="26"/>
      <c r="K102" s="41">
        <v>1431.58</v>
      </c>
      <c r="L102" s="28">
        <f t="shared" si="9"/>
        <v>-1.2612398345054496E-2</v>
      </c>
      <c r="M102" s="26"/>
      <c r="N102" s="23">
        <v>1405.82</v>
      </c>
      <c r="O102" s="28">
        <f t="shared" si="10"/>
        <v>2.0079613129345558E-3</v>
      </c>
      <c r="P102" s="26"/>
      <c r="Q102" s="23"/>
      <c r="R102" s="28" t="str">
        <f t="shared" si="11"/>
        <v/>
      </c>
      <c r="S102" s="27"/>
    </row>
    <row r="103" spans="1:19" x14ac:dyDescent="0.3">
      <c r="A103" s="24"/>
      <c r="B103">
        <v>60.84</v>
      </c>
      <c r="C103" s="42">
        <f t="shared" si="6"/>
        <v>4.9321825907375054E-4</v>
      </c>
      <c r="D103" s="26"/>
      <c r="E103" s="41">
        <v>3135.51</v>
      </c>
      <c r="F103" s="28">
        <f t="shared" si="7"/>
        <v>-1.1567310902653748E-2</v>
      </c>
      <c r="G103" s="26"/>
      <c r="H103" s="41">
        <v>1657</v>
      </c>
      <c r="I103" s="28">
        <f t="shared" si="8"/>
        <v>-6.0458467930572343E-2</v>
      </c>
      <c r="J103" s="26"/>
      <c r="K103" s="41">
        <v>1449.75</v>
      </c>
      <c r="L103" s="28">
        <f t="shared" si="9"/>
        <v>3.3491339162014494E-2</v>
      </c>
      <c r="M103" s="26"/>
      <c r="N103" s="23">
        <v>1403</v>
      </c>
      <c r="O103" s="28">
        <f t="shared" si="10"/>
        <v>-1.2480594920502261E-2</v>
      </c>
      <c r="P103" s="26"/>
      <c r="Q103" s="23"/>
      <c r="R103" s="28" t="str">
        <f t="shared" si="11"/>
        <v/>
      </c>
      <c r="S103" s="27"/>
    </row>
    <row r="104" spans="1:19" x14ac:dyDescent="0.3">
      <c r="A104" s="24"/>
      <c r="B104">
        <v>60.81</v>
      </c>
      <c r="C104" s="42">
        <f t="shared" si="6"/>
        <v>2.9200372816241674E-2</v>
      </c>
      <c r="D104" s="26"/>
      <c r="E104" s="41">
        <v>3171.99</v>
      </c>
      <c r="F104" s="28">
        <f t="shared" si="7"/>
        <v>1.4169953014178326E-2</v>
      </c>
      <c r="G104" s="26"/>
      <c r="H104" s="41">
        <v>1760.27</v>
      </c>
      <c r="I104" s="28">
        <f t="shared" si="8"/>
        <v>2.587338407436442E-2</v>
      </c>
      <c r="J104" s="26"/>
      <c r="K104" s="41">
        <v>1402</v>
      </c>
      <c r="L104" s="28">
        <f t="shared" si="9"/>
        <v>-3.6397957548794921E-2</v>
      </c>
      <c r="M104" s="26"/>
      <c r="N104" s="23">
        <v>1420.62</v>
      </c>
      <c r="O104" s="28">
        <f t="shared" si="10"/>
        <v>2.1537882033011959E-2</v>
      </c>
      <c r="P104" s="26"/>
      <c r="Q104" s="23"/>
      <c r="R104" s="28" t="str">
        <f t="shared" si="11"/>
        <v/>
      </c>
      <c r="S104" s="27"/>
    </row>
    <row r="105" spans="1:19" x14ac:dyDescent="0.3">
      <c r="A105" s="24"/>
      <c r="B105">
        <v>59.06</v>
      </c>
      <c r="C105" s="42">
        <f t="shared" si="6"/>
        <v>-2.0114657386378468E-2</v>
      </c>
      <c r="D105" s="26"/>
      <c r="E105" s="41">
        <v>3127.36</v>
      </c>
      <c r="F105" s="28">
        <f t="shared" si="7"/>
        <v>-2.3467733536048023E-2</v>
      </c>
      <c r="G105" s="26"/>
      <c r="H105" s="41">
        <v>1715.31</v>
      </c>
      <c r="I105" s="28">
        <f t="shared" si="8"/>
        <v>5.4423732311464868E-3</v>
      </c>
      <c r="J105" s="26"/>
      <c r="K105" s="41">
        <v>1453.97</v>
      </c>
      <c r="L105" s="28">
        <f t="shared" si="9"/>
        <v>1.9894380303476372E-2</v>
      </c>
      <c r="M105" s="26"/>
      <c r="N105" s="23">
        <v>1390.35</v>
      </c>
      <c r="O105" s="28">
        <f t="shared" si="10"/>
        <v>-1.764468596837435E-2</v>
      </c>
      <c r="P105" s="26"/>
      <c r="Q105" s="23"/>
      <c r="R105" s="28" t="str">
        <f t="shared" si="11"/>
        <v/>
      </c>
      <c r="S105" s="27"/>
    </row>
    <row r="106" spans="1:19" x14ac:dyDescent="0.3">
      <c r="A106" s="24"/>
      <c r="B106">
        <v>60.26</v>
      </c>
      <c r="C106" s="42">
        <f t="shared" si="6"/>
        <v>-9.5789336889370164E-3</v>
      </c>
      <c r="D106" s="26"/>
      <c r="E106" s="41">
        <v>3201.62</v>
      </c>
      <c r="F106" s="28">
        <f t="shared" si="7"/>
        <v>-7.7053698266811618E-2</v>
      </c>
      <c r="G106" s="26"/>
      <c r="H106" s="41">
        <v>1706</v>
      </c>
      <c r="I106" s="28">
        <f t="shared" si="8"/>
        <v>-1.8583577773712938E-2</v>
      </c>
      <c r="J106" s="26"/>
      <c r="K106" s="41">
        <v>1425.33</v>
      </c>
      <c r="L106" s="28">
        <f t="shared" si="9"/>
        <v>1.7324170616017317E-2</v>
      </c>
      <c r="M106" s="26"/>
      <c r="N106" s="23">
        <v>1415.1</v>
      </c>
      <c r="O106" s="28">
        <f t="shared" si="10"/>
        <v>2.608818703980377E-2</v>
      </c>
      <c r="P106" s="26"/>
      <c r="Q106" s="23"/>
      <c r="R106" s="28" t="str">
        <f t="shared" si="11"/>
        <v/>
      </c>
      <c r="S106" s="27"/>
    </row>
    <row r="107" spans="1:19" x14ac:dyDescent="0.3">
      <c r="A107" s="24"/>
      <c r="B107">
        <v>60.84</v>
      </c>
      <c r="C107" s="42">
        <f t="shared" si="6"/>
        <v>-1.8241548157575754E-2</v>
      </c>
      <c r="D107" s="26"/>
      <c r="E107" s="41">
        <v>3458.07</v>
      </c>
      <c r="F107" s="28">
        <f t="shared" si="7"/>
        <v>-6.901955183695776E-3</v>
      </c>
      <c r="G107" s="26"/>
      <c r="H107" s="41">
        <v>1738</v>
      </c>
      <c r="I107" s="28">
        <f t="shared" si="8"/>
        <v>-6.1662201543535768E-3</v>
      </c>
      <c r="J107" s="26"/>
      <c r="K107" s="41">
        <v>1400.85</v>
      </c>
      <c r="L107" s="28">
        <f t="shared" si="9"/>
        <v>1.52058630836616E-2</v>
      </c>
      <c r="M107" s="26"/>
      <c r="N107" s="23">
        <v>1378.66</v>
      </c>
      <c r="O107" s="28">
        <f t="shared" si="10"/>
        <v>-1.0634790677496607E-2</v>
      </c>
      <c r="P107" s="26"/>
      <c r="Q107" s="23"/>
      <c r="R107" s="28" t="str">
        <f t="shared" si="11"/>
        <v/>
      </c>
      <c r="S107" s="27"/>
    </row>
    <row r="108" spans="1:19" x14ac:dyDescent="0.3">
      <c r="A108" s="24"/>
      <c r="B108">
        <v>61.96</v>
      </c>
      <c r="C108" s="42">
        <f t="shared" si="6"/>
        <v>5.9894958497159444E-3</v>
      </c>
      <c r="D108" s="26"/>
      <c r="E108" s="41">
        <v>3482.02</v>
      </c>
      <c r="F108" s="28">
        <f t="shared" si="7"/>
        <v>2.0651058059116469E-2</v>
      </c>
      <c r="G108" s="26"/>
      <c r="H108" s="41">
        <v>1748.75</v>
      </c>
      <c r="I108" s="28">
        <f t="shared" si="8"/>
        <v>-7.4744979988841066E-3</v>
      </c>
      <c r="J108" s="26"/>
      <c r="K108" s="41">
        <v>1379.71</v>
      </c>
      <c r="L108" s="28">
        <f t="shared" si="9"/>
        <v>1.5124196989031244E-2</v>
      </c>
      <c r="M108" s="26"/>
      <c r="N108" s="23">
        <v>1393.4</v>
      </c>
      <c r="O108" s="28">
        <f t="shared" si="10"/>
        <v>-2.0810235840720977E-4</v>
      </c>
      <c r="P108" s="26"/>
      <c r="Q108" s="23"/>
      <c r="R108" s="28" t="str">
        <f t="shared" si="11"/>
        <v/>
      </c>
      <c r="S108" s="27"/>
    </row>
    <row r="109" spans="1:19" x14ac:dyDescent="0.3">
      <c r="A109" s="24"/>
      <c r="B109">
        <v>61.59</v>
      </c>
      <c r="C109" s="42">
        <f t="shared" si="6"/>
        <v>-8.0854256778495042E-3</v>
      </c>
      <c r="D109" s="26"/>
      <c r="E109" s="41">
        <v>3410.85</v>
      </c>
      <c r="F109" s="28">
        <f t="shared" si="7"/>
        <v>1.6138027621443985E-3</v>
      </c>
      <c r="G109" s="26"/>
      <c r="H109" s="41">
        <v>1761.87</v>
      </c>
      <c r="I109" s="28">
        <f t="shared" si="8"/>
        <v>1.8832538295284439E-2</v>
      </c>
      <c r="J109" s="26"/>
      <c r="K109" s="41">
        <v>1359</v>
      </c>
      <c r="L109" s="28">
        <f t="shared" si="9"/>
        <v>-6.6006840313520242E-3</v>
      </c>
      <c r="M109" s="26"/>
      <c r="N109" s="23">
        <v>1393.69</v>
      </c>
      <c r="O109" s="28">
        <f t="shared" si="10"/>
        <v>1.8466207527209819E-2</v>
      </c>
      <c r="P109" s="26"/>
      <c r="Q109" s="23"/>
      <c r="R109" s="28" t="str">
        <f t="shared" si="11"/>
        <v/>
      </c>
      <c r="S109" s="27"/>
    </row>
    <row r="110" spans="1:19" x14ac:dyDescent="0.3">
      <c r="A110" s="24"/>
      <c r="B110">
        <v>62.09</v>
      </c>
      <c r="C110" s="42">
        <f t="shared" si="6"/>
        <v>1.1500896185211376E-2</v>
      </c>
      <c r="D110" s="26"/>
      <c r="E110" s="41">
        <v>3405.35</v>
      </c>
      <c r="F110" s="28">
        <f t="shared" si="7"/>
        <v>1.310620029011726E-2</v>
      </c>
      <c r="G110" s="26"/>
      <c r="H110" s="41">
        <v>1729</v>
      </c>
      <c r="I110" s="28">
        <f t="shared" si="8"/>
        <v>4.1123273754151528E-2</v>
      </c>
      <c r="J110" s="26"/>
      <c r="K110" s="41">
        <v>1368</v>
      </c>
      <c r="L110" s="28">
        <f t="shared" si="9"/>
        <v>-1.564452756489524E-2</v>
      </c>
      <c r="M110" s="26"/>
      <c r="N110" s="23">
        <v>1368.19</v>
      </c>
      <c r="O110" s="28">
        <f t="shared" si="10"/>
        <v>2.2492125025468188E-2</v>
      </c>
      <c r="P110" s="26"/>
      <c r="Q110" s="23"/>
      <c r="R110" s="28" t="str">
        <f t="shared" si="11"/>
        <v/>
      </c>
      <c r="S110" s="27"/>
    </row>
    <row r="111" spans="1:19" x14ac:dyDescent="0.3">
      <c r="A111" s="24"/>
      <c r="B111">
        <v>61.38</v>
      </c>
      <c r="C111" s="42">
        <f t="shared" si="6"/>
        <v>-2.3348617223265464E-2</v>
      </c>
      <c r="D111" s="26"/>
      <c r="E111" s="41">
        <v>3361.01</v>
      </c>
      <c r="F111" s="28">
        <f t="shared" si="7"/>
        <v>1.0453103748176441E-2</v>
      </c>
      <c r="G111" s="26"/>
      <c r="H111" s="41">
        <v>1659.34</v>
      </c>
      <c r="I111" s="28">
        <f t="shared" si="8"/>
        <v>6.4934900500118299E-3</v>
      </c>
      <c r="J111" s="26"/>
      <c r="K111" s="41">
        <v>1389.57</v>
      </c>
      <c r="L111" s="28">
        <f t="shared" si="9"/>
        <v>5.469857335969594E-3</v>
      </c>
      <c r="M111" s="26"/>
      <c r="N111" s="23">
        <v>1337.76</v>
      </c>
      <c r="O111" s="28">
        <f t="shared" si="10"/>
        <v>1.5640150658466797E-2</v>
      </c>
      <c r="P111" s="26"/>
      <c r="Q111" s="23"/>
      <c r="R111" s="28" t="str">
        <f t="shared" si="11"/>
        <v/>
      </c>
      <c r="S111" s="27"/>
    </row>
    <row r="112" spans="1:19" x14ac:dyDescent="0.3">
      <c r="A112" s="24"/>
      <c r="B112">
        <v>62.83</v>
      </c>
      <c r="C112" s="42">
        <f t="shared" si="6"/>
        <v>2.0712187759805659E-3</v>
      </c>
      <c r="D112" s="26"/>
      <c r="E112" s="41">
        <v>3326.06</v>
      </c>
      <c r="F112" s="28">
        <f t="shared" si="7"/>
        <v>6.3759400656227894E-4</v>
      </c>
      <c r="G112" s="26"/>
      <c r="H112" s="41">
        <v>1648.6</v>
      </c>
      <c r="I112" s="28">
        <f t="shared" si="8"/>
        <v>4.8527199504856433E-5</v>
      </c>
      <c r="J112" s="26"/>
      <c r="K112" s="41">
        <v>1381.99</v>
      </c>
      <c r="L112" s="28">
        <f t="shared" si="9"/>
        <v>-2.8399185083961161E-2</v>
      </c>
      <c r="M112" s="26"/>
      <c r="N112" s="23">
        <v>1317</v>
      </c>
      <c r="O112" s="28">
        <f t="shared" si="10"/>
        <v>5.3521865736690733E-3</v>
      </c>
      <c r="P112" s="26"/>
      <c r="Q112" s="23"/>
      <c r="R112" s="28" t="str">
        <f t="shared" si="11"/>
        <v/>
      </c>
      <c r="S112" s="27"/>
    </row>
    <row r="113" spans="1:19" x14ac:dyDescent="0.3">
      <c r="A113" s="24"/>
      <c r="B113">
        <v>62.7</v>
      </c>
      <c r="C113" s="42">
        <f t="shared" si="6"/>
        <v>-8.8917702386276613E-3</v>
      </c>
      <c r="D113" s="26"/>
      <c r="E113" s="41">
        <v>3323.94</v>
      </c>
      <c r="F113" s="28">
        <f t="shared" si="7"/>
        <v>-1.9628946353533381E-2</v>
      </c>
      <c r="G113" s="26"/>
      <c r="H113" s="41">
        <v>1648.52</v>
      </c>
      <c r="I113" s="28">
        <f t="shared" si="8"/>
        <v>-4.0439317517110308E-3</v>
      </c>
      <c r="J113" s="26"/>
      <c r="K113" s="41">
        <v>1421.8</v>
      </c>
      <c r="L113" s="28">
        <f t="shared" si="9"/>
        <v>6.020974094809408E-2</v>
      </c>
      <c r="M113" s="26"/>
      <c r="N113" s="23">
        <v>1309.97</v>
      </c>
      <c r="O113" s="28">
        <f t="shared" si="10"/>
        <v>-1.5670823561042685E-2</v>
      </c>
      <c r="P113" s="26"/>
      <c r="Q113" s="23"/>
      <c r="R113" s="28" t="str">
        <f t="shared" si="11"/>
        <v/>
      </c>
      <c r="S113" s="27"/>
    </row>
    <row r="114" spans="1:19" x14ac:dyDescent="0.3">
      <c r="A114" s="24"/>
      <c r="B114">
        <v>63.26</v>
      </c>
      <c r="C114" s="42">
        <f t="shared" si="6"/>
        <v>-3.1565682775467692E-3</v>
      </c>
      <c r="D114" s="26"/>
      <c r="E114" s="41">
        <v>3389.83</v>
      </c>
      <c r="F114" s="28">
        <f t="shared" si="7"/>
        <v>3.1108753027229617E-2</v>
      </c>
      <c r="G114" s="26"/>
      <c r="H114" s="41">
        <v>1655.2</v>
      </c>
      <c r="I114" s="28">
        <f t="shared" si="8"/>
        <v>-1.6418368685379884E-2</v>
      </c>
      <c r="J114" s="26"/>
      <c r="K114" s="41">
        <v>1338.72</v>
      </c>
      <c r="L114" s="28">
        <f t="shared" si="9"/>
        <v>-4.6726445167736656E-3</v>
      </c>
      <c r="M114" s="26"/>
      <c r="N114" s="23">
        <v>1330.66</v>
      </c>
      <c r="O114" s="28">
        <f t="shared" si="10"/>
        <v>-1.0607422922434046E-2</v>
      </c>
      <c r="P114" s="26"/>
      <c r="Q114" s="23"/>
      <c r="R114" s="28" t="str">
        <f t="shared" si="11"/>
        <v/>
      </c>
      <c r="S114" s="27"/>
    </row>
    <row r="115" spans="1:19" x14ac:dyDescent="0.3">
      <c r="A115" s="24"/>
      <c r="B115">
        <v>63.46</v>
      </c>
      <c r="C115" s="42">
        <f t="shared" si="6"/>
        <v>-5.9701669865039079E-3</v>
      </c>
      <c r="D115" s="26"/>
      <c r="E115" s="41">
        <v>3286</v>
      </c>
      <c r="F115" s="28">
        <f t="shared" si="7"/>
        <v>-5.0481011426128609E-3</v>
      </c>
      <c r="G115" s="26"/>
      <c r="H115" s="41">
        <v>1682.6</v>
      </c>
      <c r="I115" s="28">
        <f t="shared" si="8"/>
        <v>-2.427215271707165E-2</v>
      </c>
      <c r="J115" s="26"/>
      <c r="K115" s="41">
        <v>1344.99</v>
      </c>
      <c r="L115" s="28">
        <f t="shared" si="9"/>
        <v>1.3428144466557539E-2</v>
      </c>
      <c r="M115" s="26"/>
      <c r="N115" s="23">
        <v>1344.85</v>
      </c>
      <c r="O115" s="28">
        <f t="shared" si="10"/>
        <v>2.2445817041223701E-2</v>
      </c>
      <c r="P115" s="26"/>
      <c r="Q115" s="23"/>
      <c r="R115" s="28" t="str">
        <f t="shared" si="11"/>
        <v/>
      </c>
      <c r="S115" s="27"/>
    </row>
    <row r="116" spans="1:19" x14ac:dyDescent="0.3">
      <c r="A116" s="24"/>
      <c r="B116">
        <v>63.84</v>
      </c>
      <c r="C116" s="42">
        <f t="shared" si="6"/>
        <v>8.0208026132144346E-3</v>
      </c>
      <c r="D116" s="26"/>
      <c r="E116" s="41">
        <v>3302.63</v>
      </c>
      <c r="F116" s="28">
        <f t="shared" si="7"/>
        <v>-2.3680317851237265E-3</v>
      </c>
      <c r="G116" s="26"/>
      <c r="H116" s="41">
        <v>1723.94</v>
      </c>
      <c r="I116" s="28">
        <f t="shared" si="8"/>
        <v>-1.1075715745795082E-2</v>
      </c>
      <c r="J116" s="26"/>
      <c r="K116" s="41">
        <v>1327.05</v>
      </c>
      <c r="L116" s="28">
        <f t="shared" si="9"/>
        <v>1.8841859186294975E-2</v>
      </c>
      <c r="M116" s="26"/>
      <c r="N116" s="23">
        <v>1315</v>
      </c>
      <c r="O116" s="28">
        <f t="shared" si="10"/>
        <v>6.086928885899014E-3</v>
      </c>
      <c r="P116" s="26"/>
      <c r="Q116" s="23"/>
      <c r="R116" s="28" t="str">
        <f t="shared" si="11"/>
        <v/>
      </c>
      <c r="S116" s="27"/>
    </row>
    <row r="117" spans="1:19" x14ac:dyDescent="0.3">
      <c r="A117" s="24"/>
      <c r="B117">
        <v>63.33</v>
      </c>
      <c r="C117" s="42">
        <f t="shared" si="6"/>
        <v>-2.2483382666486744E-2</v>
      </c>
      <c r="D117" s="26"/>
      <c r="E117" s="41">
        <v>3310.46</v>
      </c>
      <c r="F117" s="28">
        <f t="shared" si="7"/>
        <v>-6.6386212735991832E-3</v>
      </c>
      <c r="G117" s="26"/>
      <c r="H117" s="41">
        <v>1743.14</v>
      </c>
      <c r="I117" s="28">
        <f t="shared" si="8"/>
        <v>1.3357979835493689E-2</v>
      </c>
      <c r="J117" s="26"/>
      <c r="K117" s="41">
        <v>1302.28</v>
      </c>
      <c r="L117" s="28">
        <f t="shared" si="9"/>
        <v>-1.9745711919843034E-2</v>
      </c>
      <c r="M117" s="26"/>
      <c r="N117" s="23">
        <v>1307.02</v>
      </c>
      <c r="O117" s="28">
        <f t="shared" si="10"/>
        <v>8.9456483429003857E-3</v>
      </c>
      <c r="P117" s="26"/>
      <c r="Q117" s="23"/>
      <c r="R117" s="28" t="str">
        <f t="shared" si="11"/>
        <v/>
      </c>
      <c r="S117" s="27"/>
    </row>
    <row r="118" spans="1:19" x14ac:dyDescent="0.3">
      <c r="A118" s="24"/>
      <c r="B118">
        <v>64.77</v>
      </c>
      <c r="C118" s="42">
        <f t="shared" si="6"/>
        <v>-1.212322068080332E-2</v>
      </c>
      <c r="D118" s="26"/>
      <c r="E118" s="41">
        <v>3332.51</v>
      </c>
      <c r="F118" s="28">
        <f t="shared" si="7"/>
        <v>-2.2115170224295926E-2</v>
      </c>
      <c r="G118" s="26"/>
      <c r="H118" s="41">
        <v>1720.01</v>
      </c>
      <c r="I118" s="28">
        <f t="shared" si="8"/>
        <v>-1.1497535548584407E-2</v>
      </c>
      <c r="J118" s="26"/>
      <c r="K118" s="41">
        <v>1328.25</v>
      </c>
      <c r="L118" s="28">
        <f t="shared" si="9"/>
        <v>1.7659245574258735E-2</v>
      </c>
      <c r="M118" s="26"/>
      <c r="N118" s="23">
        <v>1295.3800000000001</v>
      </c>
      <c r="O118" s="28">
        <f t="shared" si="10"/>
        <v>7.096404121966212E-3</v>
      </c>
      <c r="P118" s="26"/>
      <c r="Q118" s="23"/>
      <c r="R118" s="28" t="str">
        <f t="shared" si="11"/>
        <v/>
      </c>
      <c r="S118" s="27"/>
    </row>
    <row r="119" spans="1:19" x14ac:dyDescent="0.3">
      <c r="A119" s="24"/>
      <c r="B119">
        <v>65.56</v>
      </c>
      <c r="C119" s="42">
        <f t="shared" si="6"/>
        <v>-2.2771096236016791E-2</v>
      </c>
      <c r="D119" s="26"/>
      <c r="E119" s="41">
        <v>3407.03</v>
      </c>
      <c r="F119" s="28">
        <f t="shared" si="7"/>
        <v>-1.9850963073875373E-3</v>
      </c>
      <c r="G119" s="26"/>
      <c r="H119" s="41">
        <v>1739.9</v>
      </c>
      <c r="I119" s="28">
        <f t="shared" si="8"/>
        <v>5.8334075173923508E-3</v>
      </c>
      <c r="J119" s="26"/>
      <c r="K119" s="41">
        <v>1305</v>
      </c>
      <c r="L119" s="28">
        <f t="shared" si="9"/>
        <v>9.4931939768428744E-3</v>
      </c>
      <c r="M119" s="26"/>
      <c r="N119" s="23">
        <v>1286.22</v>
      </c>
      <c r="O119" s="28">
        <f t="shared" si="10"/>
        <v>1.2517570464303173E-2</v>
      </c>
      <c r="P119" s="26"/>
      <c r="Q119" s="23"/>
      <c r="R119" s="28" t="str">
        <f t="shared" si="11"/>
        <v/>
      </c>
      <c r="S119" s="27"/>
    </row>
    <row r="120" spans="1:19" x14ac:dyDescent="0.3">
      <c r="A120" s="24"/>
      <c r="B120">
        <v>67.069999999999993</v>
      </c>
      <c r="C120" s="42">
        <f t="shared" si="6"/>
        <v>-1.4064929467403552E-2</v>
      </c>
      <c r="D120" s="26"/>
      <c r="E120" s="41">
        <v>3413.8</v>
      </c>
      <c r="F120" s="28">
        <f t="shared" si="7"/>
        <v>-2.819853153541958E-3</v>
      </c>
      <c r="G120" s="26"/>
      <c r="H120" s="41">
        <v>1729.78</v>
      </c>
      <c r="I120" s="28">
        <f t="shared" si="8"/>
        <v>7.9632673036682099E-3</v>
      </c>
      <c r="J120" s="26"/>
      <c r="K120" s="41">
        <v>1292.67</v>
      </c>
      <c r="L120" s="28">
        <f t="shared" si="9"/>
        <v>-1.0190268971269067E-2</v>
      </c>
      <c r="M120" s="26"/>
      <c r="N120" s="23">
        <v>1270.22</v>
      </c>
      <c r="O120" s="28">
        <f t="shared" si="10"/>
        <v>-2.1233807866257778E-2</v>
      </c>
      <c r="P120" s="26"/>
      <c r="Q120" s="23"/>
      <c r="R120" s="28" t="str">
        <f t="shared" si="11"/>
        <v/>
      </c>
      <c r="S120" s="27"/>
    </row>
    <row r="121" spans="1:19" x14ac:dyDescent="0.3">
      <c r="A121" s="24"/>
      <c r="B121">
        <v>68.02</v>
      </c>
      <c r="C121" s="42">
        <f t="shared" si="6"/>
        <v>3.6988569369340626E-2</v>
      </c>
      <c r="D121" s="26"/>
      <c r="E121" s="41">
        <v>3423.44</v>
      </c>
      <c r="F121" s="28">
        <f t="shared" si="7"/>
        <v>-1.2193715205411428E-2</v>
      </c>
      <c r="G121" s="26"/>
      <c r="H121" s="41">
        <v>1716.06</v>
      </c>
      <c r="I121" s="28">
        <f t="shared" si="8"/>
        <v>-2.2816973613073114E-3</v>
      </c>
      <c r="J121" s="26"/>
      <c r="K121" s="41">
        <v>1305.9100000000001</v>
      </c>
      <c r="L121" s="28">
        <f t="shared" si="9"/>
        <v>-2.9501332201318453E-2</v>
      </c>
      <c r="M121" s="26"/>
      <c r="N121" s="23">
        <v>1297.48</v>
      </c>
      <c r="O121" s="28">
        <f t="shared" si="10"/>
        <v>-1.3093745371994562E-3</v>
      </c>
      <c r="P121" s="26"/>
      <c r="Q121" s="23"/>
      <c r="R121" s="28" t="str">
        <f t="shared" si="11"/>
        <v/>
      </c>
      <c r="S121" s="27"/>
    </row>
    <row r="122" spans="1:19" x14ac:dyDescent="0.3">
      <c r="A122" s="24"/>
      <c r="B122">
        <v>65.55</v>
      </c>
      <c r="C122" s="42">
        <f t="shared" si="6"/>
        <v>1.7389066306656029E-2</v>
      </c>
      <c r="D122" s="26"/>
      <c r="E122" s="41">
        <v>3465.44</v>
      </c>
      <c r="F122" s="28">
        <f t="shared" si="7"/>
        <v>-2.6797333012718295E-2</v>
      </c>
      <c r="G122" s="26"/>
      <c r="H122" s="41">
        <v>1719.98</v>
      </c>
      <c r="I122" s="28">
        <f t="shared" si="8"/>
        <v>-1.6725815616452075E-2</v>
      </c>
      <c r="J122" s="26"/>
      <c r="K122" s="41">
        <v>1345.01</v>
      </c>
      <c r="L122" s="28">
        <f t="shared" si="9"/>
        <v>-1.9868081333292157E-2</v>
      </c>
      <c r="M122" s="26"/>
      <c r="N122" s="23">
        <v>1299.18</v>
      </c>
      <c r="O122" s="28">
        <f t="shared" si="10"/>
        <v>5.5728510892911493E-3</v>
      </c>
      <c r="P122" s="26"/>
      <c r="Q122" s="23"/>
      <c r="R122" s="28" t="str">
        <f t="shared" si="11"/>
        <v/>
      </c>
      <c r="S122" s="27"/>
    </row>
    <row r="123" spans="1:19" x14ac:dyDescent="0.3">
      <c r="A123" s="24"/>
      <c r="B123">
        <v>64.42</v>
      </c>
      <c r="C123" s="42">
        <f t="shared" si="6"/>
        <v>7.3226158782010659E-3</v>
      </c>
      <c r="D123" s="26"/>
      <c r="E123" s="41">
        <v>3559.56</v>
      </c>
      <c r="F123" s="28">
        <f t="shared" si="7"/>
        <v>-5.4241372018366055E-3</v>
      </c>
      <c r="G123" s="26"/>
      <c r="H123" s="41">
        <v>1748.99</v>
      </c>
      <c r="I123" s="28">
        <f t="shared" si="8"/>
        <v>4.8258326785444788E-3</v>
      </c>
      <c r="J123" s="26"/>
      <c r="K123" s="41">
        <v>1372</v>
      </c>
      <c r="L123" s="28">
        <f t="shared" si="9"/>
        <v>-3.2272431404849845E-2</v>
      </c>
      <c r="M123" s="26"/>
      <c r="N123" s="23">
        <v>1291.96</v>
      </c>
      <c r="O123" s="28">
        <f t="shared" si="10"/>
        <v>-5.7421743354685306E-3</v>
      </c>
      <c r="P123" s="26"/>
      <c r="Q123" s="23"/>
      <c r="R123" s="28" t="str">
        <f t="shared" si="11"/>
        <v/>
      </c>
      <c r="S123" s="27"/>
    </row>
    <row r="124" spans="1:19" x14ac:dyDescent="0.3">
      <c r="A124" s="24"/>
      <c r="B124">
        <v>63.95</v>
      </c>
      <c r="C124" s="42">
        <f t="shared" si="6"/>
        <v>3.2742912273581525E-2</v>
      </c>
      <c r="D124" s="26"/>
      <c r="E124" s="41">
        <v>3578.92</v>
      </c>
      <c r="F124" s="28">
        <f t="shared" si="7"/>
        <v>-8.4068237074525658E-4</v>
      </c>
      <c r="G124" s="26"/>
      <c r="H124" s="41">
        <v>1740.57</v>
      </c>
      <c r="I124" s="28">
        <f t="shared" si="8"/>
        <v>-6.5453467255117918E-3</v>
      </c>
      <c r="J124" s="26"/>
      <c r="K124" s="41">
        <v>1417</v>
      </c>
      <c r="L124" s="28">
        <f t="shared" si="9"/>
        <v>2.5734086281388405E-2</v>
      </c>
      <c r="M124" s="26"/>
      <c r="N124" s="23">
        <v>1299.4000000000001</v>
      </c>
      <c r="O124" s="28">
        <f t="shared" si="10"/>
        <v>-1.2914553903729893E-2</v>
      </c>
      <c r="P124" s="26"/>
      <c r="Q124" s="23"/>
      <c r="R124" s="28" t="str">
        <f t="shared" si="11"/>
        <v/>
      </c>
      <c r="S124" s="27"/>
    </row>
    <row r="125" spans="1:19" x14ac:dyDescent="0.3">
      <c r="A125" s="24"/>
      <c r="B125">
        <v>61.89</v>
      </c>
      <c r="C125" s="42">
        <f t="shared" si="6"/>
        <v>6.1588525309933077E-3</v>
      </c>
      <c r="D125" s="26"/>
      <c r="E125" s="41">
        <v>3581.93</v>
      </c>
      <c r="F125" s="28">
        <f t="shared" si="7"/>
        <v>-9.9698731993391049E-3</v>
      </c>
      <c r="G125" s="26"/>
      <c r="H125" s="41">
        <v>1752</v>
      </c>
      <c r="I125" s="28">
        <f t="shared" si="8"/>
        <v>-1.0786366286496761E-2</v>
      </c>
      <c r="J125" s="26"/>
      <c r="K125" s="41">
        <v>1381</v>
      </c>
      <c r="L125" s="28">
        <f t="shared" si="9"/>
        <v>-2.1015845132427501E-2</v>
      </c>
      <c r="M125" s="26"/>
      <c r="N125" s="23">
        <v>1316.29</v>
      </c>
      <c r="O125" s="28">
        <f t="shared" si="10"/>
        <v>-3.9073435251888826E-2</v>
      </c>
      <c r="P125" s="26"/>
      <c r="Q125" s="23"/>
      <c r="R125" s="28" t="str">
        <f t="shared" si="11"/>
        <v/>
      </c>
      <c r="S125" s="27"/>
    </row>
    <row r="126" spans="1:19" x14ac:dyDescent="0.3">
      <c r="A126" s="24"/>
      <c r="B126">
        <v>61.51</v>
      </c>
      <c r="C126" s="42">
        <f t="shared" si="6"/>
        <v>9.7592720823289438E-4</v>
      </c>
      <c r="D126" s="26"/>
      <c r="E126" s="41">
        <v>3617.82</v>
      </c>
      <c r="F126" s="28">
        <f t="shared" si="7"/>
        <v>2.163862146898704E-3</v>
      </c>
      <c r="G126" s="26"/>
      <c r="H126" s="41">
        <v>1771</v>
      </c>
      <c r="I126" s="28">
        <f t="shared" si="8"/>
        <v>-1.1229764277878199E-2</v>
      </c>
      <c r="J126" s="26"/>
      <c r="K126" s="41">
        <v>1410.33</v>
      </c>
      <c r="L126" s="28">
        <f t="shared" si="9"/>
        <v>-3.3058115356183874E-3</v>
      </c>
      <c r="M126" s="26"/>
      <c r="N126" s="23">
        <v>1368.74</v>
      </c>
      <c r="O126" s="28">
        <f t="shared" si="10"/>
        <v>-1.0364444062708759E-2</v>
      </c>
      <c r="P126" s="26"/>
      <c r="Q126" s="23"/>
      <c r="R126" s="28" t="str">
        <f t="shared" si="11"/>
        <v/>
      </c>
      <c r="S126" s="27"/>
    </row>
    <row r="127" spans="1:19" x14ac:dyDescent="0.3">
      <c r="A127" s="24"/>
      <c r="B127">
        <v>61.45</v>
      </c>
      <c r="C127" s="42">
        <f t="shared" si="6"/>
        <v>-4.8808265835121733E-4</v>
      </c>
      <c r="D127" s="26"/>
      <c r="E127" s="41">
        <v>3610</v>
      </c>
      <c r="F127" s="28">
        <f t="shared" si="7"/>
        <v>5.5527843331612493E-3</v>
      </c>
      <c r="G127" s="26"/>
      <c r="H127" s="41">
        <v>1791</v>
      </c>
      <c r="I127" s="28">
        <f t="shared" si="8"/>
        <v>5.585032259110142E-4</v>
      </c>
      <c r="J127" s="26"/>
      <c r="K127" s="41">
        <v>1415</v>
      </c>
      <c r="L127" s="28">
        <f t="shared" si="9"/>
        <v>-1.2361444103012785E-2</v>
      </c>
      <c r="M127" s="26"/>
      <c r="N127" s="23">
        <v>1383</v>
      </c>
      <c r="O127" s="28">
        <f t="shared" si="10"/>
        <v>9.4443128425877199E-3</v>
      </c>
      <c r="P127" s="26"/>
      <c r="Q127" s="23"/>
      <c r="R127" s="28" t="str">
        <f t="shared" si="11"/>
        <v/>
      </c>
      <c r="S127" s="27"/>
    </row>
    <row r="128" spans="1:19" x14ac:dyDescent="0.3">
      <c r="A128" s="24"/>
      <c r="B128">
        <v>61.48</v>
      </c>
      <c r="C128" s="42">
        <f t="shared" si="6"/>
        <v>9.7640365771883299E-4</v>
      </c>
      <c r="D128" s="26"/>
      <c r="E128" s="41">
        <v>3590.01</v>
      </c>
      <c r="F128" s="28">
        <f t="shared" si="7"/>
        <v>-1.6013119228060778E-2</v>
      </c>
      <c r="G128" s="26"/>
      <c r="H128" s="41">
        <v>1790</v>
      </c>
      <c r="I128" s="28">
        <f t="shared" si="8"/>
        <v>1.3864355180433835E-3</v>
      </c>
      <c r="J128" s="26"/>
      <c r="K128" s="41">
        <v>1432.6</v>
      </c>
      <c r="L128" s="28">
        <f t="shared" si="9"/>
        <v>-1.2072581234269249E-2</v>
      </c>
      <c r="M128" s="26"/>
      <c r="N128" s="23">
        <v>1370</v>
      </c>
      <c r="O128" s="28">
        <f t="shared" si="10"/>
        <v>-1.4291548162115973E-2</v>
      </c>
      <c r="P128" s="26"/>
      <c r="Q128" s="23"/>
      <c r="R128" s="28" t="str">
        <f t="shared" si="11"/>
        <v/>
      </c>
      <c r="S128" s="27"/>
    </row>
    <row r="129" spans="1:19" x14ac:dyDescent="0.3">
      <c r="A129" s="24"/>
      <c r="B129">
        <v>61.42</v>
      </c>
      <c r="C129" s="42">
        <f t="shared" si="6"/>
        <v>-1.7910926566530219E-2</v>
      </c>
      <c r="D129" s="26"/>
      <c r="E129" s="41">
        <v>3647.96</v>
      </c>
      <c r="F129" s="28">
        <f t="shared" si="7"/>
        <v>8.1389317144549278E-3</v>
      </c>
      <c r="G129" s="26"/>
      <c r="H129" s="41">
        <v>1787.52</v>
      </c>
      <c r="I129" s="28">
        <f t="shared" si="8"/>
        <v>-7.0963598122189856E-3</v>
      </c>
      <c r="J129" s="26"/>
      <c r="K129" s="41">
        <v>1450</v>
      </c>
      <c r="L129" s="28">
        <f t="shared" si="9"/>
        <v>2.707109191705288E-3</v>
      </c>
      <c r="M129" s="26"/>
      <c r="N129" s="23">
        <v>1389.72</v>
      </c>
      <c r="O129" s="28">
        <f t="shared" si="10"/>
        <v>-1.4232064639508371E-2</v>
      </c>
      <c r="P129" s="26"/>
      <c r="Q129" s="23"/>
      <c r="R129" s="28" t="str">
        <f t="shared" si="11"/>
        <v/>
      </c>
      <c r="S129" s="27"/>
    </row>
    <row r="130" spans="1:19" x14ac:dyDescent="0.3">
      <c r="A130" s="24"/>
      <c r="B130">
        <v>62.53</v>
      </c>
      <c r="C130" s="42">
        <f t="shared" si="6"/>
        <v>4.3272765657444085E-3</v>
      </c>
      <c r="D130" s="26"/>
      <c r="E130" s="41">
        <v>3618.39</v>
      </c>
      <c r="F130" s="28">
        <f t="shared" si="7"/>
        <v>2.2541070334245766E-2</v>
      </c>
      <c r="G130" s="26"/>
      <c r="H130" s="41">
        <v>1800.25</v>
      </c>
      <c r="I130" s="28">
        <f t="shared" si="8"/>
        <v>-5.6001763815258033E-3</v>
      </c>
      <c r="J130" s="26"/>
      <c r="K130" s="41">
        <v>1446.08</v>
      </c>
      <c r="L130" s="28">
        <f t="shared" si="9"/>
        <v>1.0468970523739298E-2</v>
      </c>
      <c r="M130" s="26"/>
      <c r="N130" s="23">
        <v>1409.64</v>
      </c>
      <c r="O130" s="28">
        <f t="shared" si="10"/>
        <v>1.8891320520541825E-2</v>
      </c>
      <c r="P130" s="26"/>
      <c r="Q130" s="23"/>
      <c r="R130" s="28" t="str">
        <f t="shared" si="11"/>
        <v/>
      </c>
      <c r="S130" s="27"/>
    </row>
    <row r="131" spans="1:19" x14ac:dyDescent="0.3">
      <c r="A131" s="24"/>
      <c r="B131">
        <v>62.26</v>
      </c>
      <c r="C131" s="42">
        <f t="shared" si="6"/>
        <v>2.7342196366605931E-3</v>
      </c>
      <c r="D131" s="26"/>
      <c r="E131" s="41">
        <v>3537.74</v>
      </c>
      <c r="F131" s="28">
        <f t="shared" si="7"/>
        <v>-2.6108113349728426E-2</v>
      </c>
      <c r="G131" s="26"/>
      <c r="H131" s="41">
        <v>1810.36</v>
      </c>
      <c r="I131" s="28">
        <f t="shared" si="8"/>
        <v>-3.870304506216328E-2</v>
      </c>
      <c r="J131" s="26"/>
      <c r="K131" s="41">
        <v>1431.02</v>
      </c>
      <c r="L131" s="28">
        <f t="shared" si="9"/>
        <v>-3.4739939089940366E-3</v>
      </c>
      <c r="M131" s="26"/>
      <c r="N131" s="23">
        <v>1383.26</v>
      </c>
      <c r="O131" s="28">
        <f t="shared" si="10"/>
        <v>-0.22784310227032695</v>
      </c>
      <c r="P131" s="26"/>
      <c r="Q131" s="23"/>
      <c r="R131" s="28" t="str">
        <f t="shared" si="11"/>
        <v/>
      </c>
      <c r="S131" s="27"/>
    </row>
    <row r="132" spans="1:19" x14ac:dyDescent="0.3">
      <c r="A132" s="24"/>
      <c r="B132">
        <v>62.09</v>
      </c>
      <c r="C132" s="42">
        <f t="shared" si="6"/>
        <v>8.0560706846336308E-4</v>
      </c>
      <c r="D132" s="26"/>
      <c r="E132" s="41">
        <v>3631.32</v>
      </c>
      <c r="F132" s="28">
        <f t="shared" si="7"/>
        <v>2.1542185119279664E-2</v>
      </c>
      <c r="G132" s="26"/>
      <c r="H132" s="41">
        <v>1881.8</v>
      </c>
      <c r="I132" s="28">
        <f t="shared" si="8"/>
        <v>6.696834446150531E-3</v>
      </c>
      <c r="J132" s="26"/>
      <c r="K132" s="41">
        <v>1436</v>
      </c>
      <c r="L132" s="28">
        <f t="shared" si="9"/>
        <v>-1.1080445776571907E-2</v>
      </c>
      <c r="M132" s="26"/>
      <c r="N132" s="23">
        <v>1737.22</v>
      </c>
      <c r="O132" s="28">
        <f t="shared" si="10"/>
        <v>4.8296868036659607E-3</v>
      </c>
      <c r="P132" s="26"/>
      <c r="Q132" s="23"/>
      <c r="R132" s="28" t="str">
        <f t="shared" si="11"/>
        <v/>
      </c>
      <c r="S132" s="27"/>
    </row>
    <row r="133" spans="1:19" x14ac:dyDescent="0.3">
      <c r="A133" s="24"/>
      <c r="B133">
        <v>62.04</v>
      </c>
      <c r="C133" s="42">
        <f t="shared" ref="C133:C196" si="12">LN(B133/B134)</f>
        <v>-7.2272056326523285E-3</v>
      </c>
      <c r="D133" s="26"/>
      <c r="E133" s="41">
        <v>3553.93</v>
      </c>
      <c r="F133" s="28">
        <f t="shared" ref="F133:F196" si="13">LN(E133/E134)</f>
        <v>5.1084059424883713E-2</v>
      </c>
      <c r="G133" s="26"/>
      <c r="H133" s="41">
        <v>1869.24</v>
      </c>
      <c r="I133" s="28">
        <f t="shared" ref="I133:I196" si="14">LN(H133/H134)</f>
        <v>9.2657949203902041E-3</v>
      </c>
      <c r="J133" s="26"/>
      <c r="K133" s="41">
        <v>1452</v>
      </c>
      <c r="L133" s="28">
        <f t="shared" ref="L133:L196" si="15">LN(K133/K134)</f>
        <v>-8.9133260664262803E-3</v>
      </c>
      <c r="M133" s="26"/>
      <c r="N133" s="23">
        <v>1728.85</v>
      </c>
      <c r="O133" s="28">
        <f t="shared" ref="O133:O196" si="16">LN(N133/N134)</f>
        <v>3.6158650534719216E-3</v>
      </c>
      <c r="P133" s="26"/>
      <c r="Q133" s="23"/>
      <c r="R133" s="28" t="str">
        <f t="shared" ref="R133:R196" si="17">IF(Q133="","",(LN(Q133/Q134)))</f>
        <v/>
      </c>
      <c r="S133" s="27"/>
    </row>
    <row r="134" spans="1:19" x14ac:dyDescent="0.3">
      <c r="A134" s="24"/>
      <c r="B134">
        <v>62.49</v>
      </c>
      <c r="C134" s="42">
        <f t="shared" si="12"/>
        <v>3.0051802606874053E-2</v>
      </c>
      <c r="D134" s="26"/>
      <c r="E134" s="41">
        <v>3376.94</v>
      </c>
      <c r="F134" s="28">
        <f t="shared" si="13"/>
        <v>1.0104357888223201E-2</v>
      </c>
      <c r="G134" s="26"/>
      <c r="H134" s="41">
        <v>1852</v>
      </c>
      <c r="I134" s="28">
        <f t="shared" si="14"/>
        <v>1.7429635135283596E-2</v>
      </c>
      <c r="J134" s="26"/>
      <c r="K134" s="41">
        <v>1465</v>
      </c>
      <c r="L134" s="28">
        <f t="shared" si="15"/>
        <v>-1.2468025220289307E-2</v>
      </c>
      <c r="M134" s="26"/>
      <c r="N134" s="23">
        <v>1722.61</v>
      </c>
      <c r="O134" s="28">
        <f t="shared" si="16"/>
        <v>-1.5523745216226572E-2</v>
      </c>
      <c r="P134" s="26"/>
      <c r="Q134" s="23"/>
      <c r="R134" s="28" t="str">
        <f t="shared" si="17"/>
        <v/>
      </c>
      <c r="S134" s="27"/>
    </row>
    <row r="135" spans="1:19" x14ac:dyDescent="0.3">
      <c r="A135" s="24"/>
      <c r="B135">
        <v>60.64</v>
      </c>
      <c r="C135" s="42">
        <f t="shared" si="12"/>
        <v>-2.0403874417153915E-2</v>
      </c>
      <c r="D135" s="26"/>
      <c r="E135" s="41">
        <v>3342.99</v>
      </c>
      <c r="F135" s="28">
        <f t="shared" si="13"/>
        <v>-2.2900658056856382E-2</v>
      </c>
      <c r="G135" s="26"/>
      <c r="H135" s="41">
        <v>1820</v>
      </c>
      <c r="I135" s="28">
        <f t="shared" si="14"/>
        <v>-1.6435620748275453E-2</v>
      </c>
      <c r="J135" s="26"/>
      <c r="K135" s="41">
        <v>1483.38</v>
      </c>
      <c r="L135" s="28">
        <f t="shared" si="15"/>
        <v>8.1361245366950528E-3</v>
      </c>
      <c r="M135" s="26"/>
      <c r="N135" s="23">
        <v>1749.56</v>
      </c>
      <c r="O135" s="28">
        <f t="shared" si="16"/>
        <v>-4.3857593233459649E-3</v>
      </c>
      <c r="P135" s="26"/>
      <c r="Q135" s="23"/>
      <c r="R135" s="28" t="str">
        <f t="shared" si="17"/>
        <v/>
      </c>
      <c r="S135" s="27"/>
    </row>
    <row r="136" spans="1:19" x14ac:dyDescent="0.3">
      <c r="A136" s="24"/>
      <c r="B136">
        <v>61.89</v>
      </c>
      <c r="C136" s="42">
        <f t="shared" si="12"/>
        <v>-2.0982979210328024E-3</v>
      </c>
      <c r="D136" s="26"/>
      <c r="E136" s="41">
        <v>3420.43</v>
      </c>
      <c r="F136" s="28">
        <f t="shared" si="13"/>
        <v>3.9576168304305288E-3</v>
      </c>
      <c r="G136" s="26"/>
      <c r="H136" s="41">
        <v>1850.16</v>
      </c>
      <c r="I136" s="28">
        <f t="shared" si="14"/>
        <v>-1.0660961421634465E-2</v>
      </c>
      <c r="J136" s="26"/>
      <c r="K136" s="41">
        <v>1471.36</v>
      </c>
      <c r="L136" s="28">
        <f t="shared" si="15"/>
        <v>-2.5147372897767216E-2</v>
      </c>
      <c r="M136" s="26"/>
      <c r="N136" s="23">
        <v>1757.25</v>
      </c>
      <c r="O136" s="28">
        <f t="shared" si="16"/>
        <v>1.851193123886362E-3</v>
      </c>
      <c r="P136" s="26"/>
      <c r="Q136" s="23"/>
      <c r="R136" s="28" t="str">
        <f t="shared" si="17"/>
        <v/>
      </c>
      <c r="S136" s="27"/>
    </row>
    <row r="137" spans="1:19" x14ac:dyDescent="0.3">
      <c r="A137" s="24"/>
      <c r="B137">
        <v>62.02</v>
      </c>
      <c r="C137" s="42">
        <f t="shared" si="12"/>
        <v>-5.9480924503920295E-3</v>
      </c>
      <c r="D137" s="26"/>
      <c r="E137" s="41">
        <v>3406.92</v>
      </c>
      <c r="F137" s="28">
        <f t="shared" si="13"/>
        <v>1.2380694238065164E-2</v>
      </c>
      <c r="G137" s="26"/>
      <c r="H137" s="41">
        <v>1869.99</v>
      </c>
      <c r="I137" s="28">
        <f t="shared" si="14"/>
        <v>2.6720301628351049E-3</v>
      </c>
      <c r="J137" s="26"/>
      <c r="K137" s="41">
        <v>1508.83</v>
      </c>
      <c r="L137" s="28">
        <f t="shared" si="15"/>
        <v>3.1522314800917245E-2</v>
      </c>
      <c r="M137" s="26"/>
      <c r="N137" s="23">
        <v>1754</v>
      </c>
      <c r="O137" s="28">
        <f t="shared" si="16"/>
        <v>7.9333241901522623E-3</v>
      </c>
      <c r="P137" s="26"/>
      <c r="Q137" s="23"/>
      <c r="R137" s="28" t="str">
        <f t="shared" si="17"/>
        <v/>
      </c>
      <c r="S137" s="27"/>
    </row>
    <row r="138" spans="1:19" x14ac:dyDescent="0.3">
      <c r="A138" s="24"/>
      <c r="B138">
        <v>62.39</v>
      </c>
      <c r="C138" s="42">
        <f t="shared" si="12"/>
        <v>5.786867137668893E-3</v>
      </c>
      <c r="D138" s="26"/>
      <c r="E138" s="41">
        <v>3365</v>
      </c>
      <c r="F138" s="28">
        <f t="shared" si="13"/>
        <v>7.4024419546064196E-4</v>
      </c>
      <c r="G138" s="26"/>
      <c r="H138" s="41">
        <v>1865</v>
      </c>
      <c r="I138" s="28">
        <f t="shared" si="14"/>
        <v>2.5501658005453736E-3</v>
      </c>
      <c r="J138" s="26"/>
      <c r="K138" s="41">
        <v>1462.01</v>
      </c>
      <c r="L138" s="28">
        <f t="shared" si="15"/>
        <v>-1.3337381136040686E-2</v>
      </c>
      <c r="M138" s="26"/>
      <c r="N138" s="23">
        <v>1740.14</v>
      </c>
      <c r="O138" s="28">
        <f t="shared" si="16"/>
        <v>-1.260313339932809E-2</v>
      </c>
      <c r="P138" s="26"/>
      <c r="Q138" s="23"/>
      <c r="R138" s="28" t="str">
        <f t="shared" si="17"/>
        <v/>
      </c>
      <c r="S138" s="27"/>
    </row>
    <row r="139" spans="1:19" x14ac:dyDescent="0.3">
      <c r="A139" s="24"/>
      <c r="B139">
        <v>62.03</v>
      </c>
      <c r="C139" s="42">
        <f t="shared" si="12"/>
        <v>1.2654289560189772E-2</v>
      </c>
      <c r="D139" s="26"/>
      <c r="E139" s="41">
        <v>3362.51</v>
      </c>
      <c r="F139" s="28">
        <f t="shared" si="13"/>
        <v>-1.9137578379257485E-2</v>
      </c>
      <c r="G139" s="26"/>
      <c r="H139" s="41">
        <v>1860.25</v>
      </c>
      <c r="I139" s="28">
        <f t="shared" si="14"/>
        <v>-1.2160673040135869E-2</v>
      </c>
      <c r="J139" s="26"/>
      <c r="K139" s="41">
        <v>1481.64</v>
      </c>
      <c r="L139" s="28">
        <f t="shared" si="15"/>
        <v>-8.6153551938737694E-3</v>
      </c>
      <c r="M139" s="26"/>
      <c r="N139" s="23">
        <v>1762.21</v>
      </c>
      <c r="O139" s="28">
        <f t="shared" si="16"/>
        <v>1.8447294649479487E-2</v>
      </c>
      <c r="P139" s="26"/>
      <c r="Q139" s="23"/>
      <c r="R139" s="28" t="str">
        <f t="shared" si="17"/>
        <v/>
      </c>
      <c r="S139" s="27"/>
    </row>
    <row r="140" spans="1:19" x14ac:dyDescent="0.3">
      <c r="A140" s="24"/>
      <c r="B140">
        <v>61.25</v>
      </c>
      <c r="C140" s="42">
        <f t="shared" si="12"/>
        <v>1.0668956349567535E-2</v>
      </c>
      <c r="D140" s="26"/>
      <c r="E140" s="41">
        <v>3427.48</v>
      </c>
      <c r="F140" s="28">
        <f t="shared" si="13"/>
        <v>1.3772088746547676E-2</v>
      </c>
      <c r="G140" s="26"/>
      <c r="H140" s="41">
        <v>1883.01</v>
      </c>
      <c r="I140" s="28">
        <f t="shared" si="14"/>
        <v>2.2204221515716688E-2</v>
      </c>
      <c r="J140" s="26"/>
      <c r="K140" s="41">
        <v>1494.46</v>
      </c>
      <c r="L140" s="28">
        <f t="shared" si="15"/>
        <v>1.1751934030146561E-2</v>
      </c>
      <c r="M140" s="26"/>
      <c r="N140" s="23">
        <v>1730</v>
      </c>
      <c r="O140" s="28">
        <f t="shared" si="16"/>
        <v>-9.039941183618231E-3</v>
      </c>
      <c r="P140" s="26"/>
      <c r="Q140" s="23"/>
      <c r="R140" s="28" t="str">
        <f t="shared" si="17"/>
        <v/>
      </c>
      <c r="S140" s="27"/>
    </row>
    <row r="141" spans="1:19" x14ac:dyDescent="0.3">
      <c r="A141" s="24"/>
      <c r="B141">
        <v>60.6</v>
      </c>
      <c r="C141" s="42">
        <f t="shared" si="12"/>
        <v>-5.9230183031220556E-3</v>
      </c>
      <c r="D141" s="26"/>
      <c r="E141" s="41">
        <v>3380.6</v>
      </c>
      <c r="F141" s="28">
        <f t="shared" si="13"/>
        <v>-4.353639946528487E-3</v>
      </c>
      <c r="G141" s="26"/>
      <c r="H141" s="41">
        <v>1841.66</v>
      </c>
      <c r="I141" s="28">
        <f t="shared" si="14"/>
        <v>-1.2643633065524738E-3</v>
      </c>
      <c r="J141" s="26"/>
      <c r="K141" s="41">
        <v>1477</v>
      </c>
      <c r="L141" s="28">
        <f t="shared" si="15"/>
        <v>-4.6068400387189647E-3</v>
      </c>
      <c r="M141" s="26"/>
      <c r="N141" s="23">
        <v>1745.71</v>
      </c>
      <c r="O141" s="28">
        <f t="shared" si="16"/>
        <v>-2.4658667482398851E-3</v>
      </c>
      <c r="P141" s="26"/>
      <c r="Q141" s="23"/>
      <c r="R141" s="28" t="str">
        <f t="shared" si="17"/>
        <v/>
      </c>
      <c r="S141" s="27"/>
    </row>
    <row r="142" spans="1:19" x14ac:dyDescent="0.3">
      <c r="A142" s="24"/>
      <c r="B142">
        <v>60.96</v>
      </c>
      <c r="C142" s="42">
        <f t="shared" si="12"/>
        <v>-1.1476351780127796E-3</v>
      </c>
      <c r="D142" s="26"/>
      <c r="E142" s="41">
        <v>3395.35</v>
      </c>
      <c r="F142" s="28">
        <f t="shared" si="13"/>
        <v>-3.2214392356863575E-2</v>
      </c>
      <c r="G142" s="26"/>
      <c r="H142" s="41">
        <v>1843.99</v>
      </c>
      <c r="I142" s="28">
        <f t="shared" si="14"/>
        <v>-2.9511573441402809E-2</v>
      </c>
      <c r="J142" s="26"/>
      <c r="K142" s="41">
        <v>1483.82</v>
      </c>
      <c r="L142" s="28">
        <f t="shared" si="15"/>
        <v>-1.0591899092559877E-2</v>
      </c>
      <c r="M142" s="26"/>
      <c r="N142" s="23">
        <v>1750.02</v>
      </c>
      <c r="O142" s="28">
        <f t="shared" si="16"/>
        <v>-7.4577504547533296E-3</v>
      </c>
      <c r="P142" s="26"/>
      <c r="Q142" s="23"/>
      <c r="R142" s="28" t="str">
        <f t="shared" si="17"/>
        <v/>
      </c>
      <c r="S142" s="27"/>
    </row>
    <row r="143" spans="1:19" x14ac:dyDescent="0.3">
      <c r="A143" s="24"/>
      <c r="B143">
        <v>61.03</v>
      </c>
      <c r="C143" s="42">
        <f t="shared" si="12"/>
        <v>-1.5930115805382908E-2</v>
      </c>
      <c r="D143" s="26"/>
      <c r="E143" s="41">
        <v>3506.51</v>
      </c>
      <c r="F143" s="28">
        <f t="shared" si="13"/>
        <v>1.46106681721428E-2</v>
      </c>
      <c r="G143" s="26"/>
      <c r="H143" s="41">
        <v>1899.22</v>
      </c>
      <c r="I143" s="28">
        <f t="shared" si="14"/>
        <v>1.0517303190073633E-2</v>
      </c>
      <c r="J143" s="26"/>
      <c r="K143" s="41">
        <v>1499.62</v>
      </c>
      <c r="L143" s="28">
        <f t="shared" si="15"/>
        <v>3.364818624803867E-2</v>
      </c>
      <c r="M143" s="26"/>
      <c r="N143" s="23">
        <v>1763.12</v>
      </c>
      <c r="O143" s="28">
        <f t="shared" si="16"/>
        <v>1.7711578462385406E-3</v>
      </c>
      <c r="P143" s="26"/>
      <c r="Q143" s="23"/>
      <c r="R143" s="28" t="str">
        <f t="shared" si="17"/>
        <v/>
      </c>
      <c r="S143" s="27"/>
    </row>
    <row r="144" spans="1:19" x14ac:dyDescent="0.3">
      <c r="A144" s="24"/>
      <c r="B144">
        <v>62.01</v>
      </c>
      <c r="C144" s="42">
        <f t="shared" si="12"/>
        <v>-6.2696130135953742E-3</v>
      </c>
      <c r="D144" s="26"/>
      <c r="E144" s="41">
        <v>3455.65</v>
      </c>
      <c r="F144" s="28">
        <f t="shared" si="13"/>
        <v>1.0767761497420042E-2</v>
      </c>
      <c r="G144" s="26"/>
      <c r="H144" s="41">
        <v>1879.35</v>
      </c>
      <c r="I144" s="28">
        <f t="shared" si="14"/>
        <v>5.5224439041084237E-3</v>
      </c>
      <c r="J144" s="26"/>
      <c r="K144" s="41">
        <v>1450</v>
      </c>
      <c r="L144" s="28">
        <f t="shared" si="15"/>
        <v>1.8873541788436241E-2</v>
      </c>
      <c r="M144" s="26"/>
      <c r="N144" s="23">
        <v>1760</v>
      </c>
      <c r="O144" s="28">
        <f t="shared" si="16"/>
        <v>-1.4631078215074832E-2</v>
      </c>
      <c r="P144" s="26"/>
      <c r="Q144" s="23"/>
      <c r="R144" s="28" t="str">
        <f t="shared" si="17"/>
        <v/>
      </c>
      <c r="S144" s="27"/>
    </row>
    <row r="145" spans="1:19" x14ac:dyDescent="0.3">
      <c r="A145" s="24"/>
      <c r="B145">
        <v>62.4</v>
      </c>
      <c r="C145" s="42">
        <f t="shared" si="12"/>
        <v>-3.0402455612282254E-3</v>
      </c>
      <c r="D145" s="26"/>
      <c r="E145" s="41">
        <v>3418.64</v>
      </c>
      <c r="F145" s="28">
        <f t="shared" si="13"/>
        <v>9.5374156229730538E-3</v>
      </c>
      <c r="G145" s="26"/>
      <c r="H145" s="41">
        <v>1869</v>
      </c>
      <c r="I145" s="28">
        <f t="shared" si="14"/>
        <v>9.9568011566147333E-4</v>
      </c>
      <c r="J145" s="26"/>
      <c r="K145" s="41">
        <v>1422.89</v>
      </c>
      <c r="L145" s="28">
        <f t="shared" si="15"/>
        <v>-4.2718023581208561E-2</v>
      </c>
      <c r="M145" s="26"/>
      <c r="N145" s="23">
        <v>1785.94</v>
      </c>
      <c r="O145" s="28">
        <f t="shared" si="16"/>
        <v>4.5910678362263251E-2</v>
      </c>
      <c r="P145" s="26"/>
      <c r="Q145" s="23"/>
      <c r="R145" s="28" t="str">
        <f t="shared" si="17"/>
        <v/>
      </c>
      <c r="S145" s="27"/>
    </row>
    <row r="146" spans="1:19" x14ac:dyDescent="0.3">
      <c r="A146" s="24"/>
      <c r="B146">
        <v>62.59</v>
      </c>
      <c r="C146" s="42">
        <f t="shared" si="12"/>
        <v>-1.2858340506570018E-2</v>
      </c>
      <c r="D146" s="26"/>
      <c r="E146" s="41">
        <v>3386.19</v>
      </c>
      <c r="F146" s="28">
        <f t="shared" si="13"/>
        <v>2.5546591365481625E-2</v>
      </c>
      <c r="G146" s="26"/>
      <c r="H146" s="41">
        <v>1867.14</v>
      </c>
      <c r="I146" s="28">
        <f t="shared" si="14"/>
        <v>2.5582336340428925E-2</v>
      </c>
      <c r="J146" s="26"/>
      <c r="K146" s="41">
        <v>1484.99</v>
      </c>
      <c r="L146" s="28">
        <f t="shared" si="15"/>
        <v>2.3844481792772307E-2</v>
      </c>
      <c r="M146" s="26"/>
      <c r="N146" s="23">
        <v>1705.8</v>
      </c>
      <c r="O146" s="28">
        <f t="shared" si="16"/>
        <v>3.3458940993049836E-2</v>
      </c>
      <c r="P146" s="26"/>
      <c r="Q146" s="23"/>
      <c r="R146" s="28" t="str">
        <f t="shared" si="17"/>
        <v/>
      </c>
      <c r="S146" s="27"/>
    </row>
    <row r="147" spans="1:19" x14ac:dyDescent="0.3">
      <c r="A147" s="24"/>
      <c r="B147">
        <v>63.4</v>
      </c>
      <c r="C147" s="42">
        <f t="shared" si="12"/>
        <v>9.6680363171621885E-3</v>
      </c>
      <c r="D147" s="26"/>
      <c r="E147" s="41">
        <v>3300.78</v>
      </c>
      <c r="F147" s="28">
        <f t="shared" si="13"/>
        <v>3.6831166176435164E-2</v>
      </c>
      <c r="G147" s="26"/>
      <c r="H147" s="41">
        <v>1819.98</v>
      </c>
      <c r="I147" s="28">
        <f t="shared" si="14"/>
        <v>2.122387217358164E-2</v>
      </c>
      <c r="J147" s="26"/>
      <c r="K147" s="41">
        <v>1450</v>
      </c>
      <c r="L147" s="28">
        <f t="shared" si="15"/>
        <v>6.6088227058866453E-2</v>
      </c>
      <c r="M147" s="26"/>
      <c r="N147" s="23">
        <v>1649.67</v>
      </c>
      <c r="O147" s="28">
        <f t="shared" si="16"/>
        <v>-2.2678801763093292E-2</v>
      </c>
      <c r="P147" s="26"/>
      <c r="Q147" s="23"/>
      <c r="R147" s="28" t="str">
        <f t="shared" si="17"/>
        <v/>
      </c>
      <c r="S147" s="27"/>
    </row>
    <row r="148" spans="1:19" x14ac:dyDescent="0.3">
      <c r="A148" s="24"/>
      <c r="B148">
        <v>62.79</v>
      </c>
      <c r="C148" s="42">
        <f t="shared" si="12"/>
        <v>1.9945972495555495E-2</v>
      </c>
      <c r="D148" s="26"/>
      <c r="E148" s="41">
        <v>3181.42</v>
      </c>
      <c r="F148" s="28">
        <f t="shared" si="13"/>
        <v>-6.9631467843439083E-3</v>
      </c>
      <c r="G148" s="26"/>
      <c r="H148" s="41">
        <v>1781.76</v>
      </c>
      <c r="I148" s="28">
        <f t="shared" si="14"/>
        <v>-3.2604052301196403E-2</v>
      </c>
      <c r="J148" s="26"/>
      <c r="K148" s="41">
        <v>1357.27</v>
      </c>
      <c r="L148" s="28">
        <f t="shared" si="15"/>
        <v>1.5159229021192672E-2</v>
      </c>
      <c r="M148" s="26"/>
      <c r="N148" s="23">
        <v>1687.51</v>
      </c>
      <c r="O148" s="28">
        <f t="shared" si="16"/>
        <v>8.6774895477718106E-3</v>
      </c>
      <c r="P148" s="26"/>
      <c r="Q148" s="23"/>
      <c r="R148" s="28" t="str">
        <f t="shared" si="17"/>
        <v/>
      </c>
      <c r="S148" s="27"/>
    </row>
    <row r="149" spans="1:19" x14ac:dyDescent="0.3">
      <c r="A149" s="24"/>
      <c r="B149">
        <v>61.55</v>
      </c>
      <c r="C149" s="42">
        <f t="shared" si="12"/>
        <v>2.6505790741945371E-2</v>
      </c>
      <c r="D149" s="26"/>
      <c r="E149" s="41">
        <v>3203.65</v>
      </c>
      <c r="F149" s="28">
        <f t="shared" si="13"/>
        <v>2.0736998415644938E-2</v>
      </c>
      <c r="G149" s="26"/>
      <c r="H149" s="41">
        <v>1840.81</v>
      </c>
      <c r="I149" s="28">
        <f t="shared" si="14"/>
        <v>1.1902300166626398E-2</v>
      </c>
      <c r="J149" s="26"/>
      <c r="K149" s="41">
        <v>1336.85</v>
      </c>
      <c r="L149" s="28">
        <f t="shared" si="15"/>
        <v>2.4074746135491262E-2</v>
      </c>
      <c r="M149" s="26"/>
      <c r="N149" s="23">
        <v>1672.93</v>
      </c>
      <c r="O149" s="28">
        <f t="shared" si="16"/>
        <v>4.0300839356736402E-2</v>
      </c>
      <c r="P149" s="26"/>
      <c r="Q149" s="23"/>
      <c r="R149" s="28" t="str">
        <f t="shared" si="17"/>
        <v/>
      </c>
      <c r="S149" s="27"/>
    </row>
    <row r="150" spans="1:19" x14ac:dyDescent="0.3">
      <c r="A150" s="24"/>
      <c r="B150">
        <v>59.94</v>
      </c>
      <c r="C150" s="42">
        <f t="shared" si="12"/>
        <v>-6.2252376365346807E-2</v>
      </c>
      <c r="D150" s="26"/>
      <c r="E150" s="41">
        <v>3137.9</v>
      </c>
      <c r="F150" s="28">
        <f t="shared" si="13"/>
        <v>5.1952685405973295E-2</v>
      </c>
      <c r="G150" s="26"/>
      <c r="H150" s="41">
        <v>1819.03</v>
      </c>
      <c r="I150" s="28">
        <f t="shared" si="14"/>
        <v>3.8464771729008147E-2</v>
      </c>
      <c r="J150" s="26"/>
      <c r="K150" s="41">
        <v>1305.05</v>
      </c>
      <c r="L150" s="28">
        <f t="shared" si="15"/>
        <v>1.349517522339076E-3</v>
      </c>
      <c r="M150" s="26"/>
      <c r="N150" s="23">
        <v>1606.85</v>
      </c>
      <c r="O150" s="28">
        <f t="shared" si="16"/>
        <v>1.386800519611857E-2</v>
      </c>
      <c r="P150" s="26"/>
      <c r="Q150" s="23"/>
      <c r="R150" s="28" t="str">
        <f t="shared" si="17"/>
        <v/>
      </c>
      <c r="S150" s="27"/>
    </row>
    <row r="151" spans="1:19" x14ac:dyDescent="0.3">
      <c r="A151" s="24"/>
      <c r="B151">
        <v>63.79</v>
      </c>
      <c r="C151" s="42">
        <f t="shared" si="12"/>
        <v>2.1971132504485292E-3</v>
      </c>
      <c r="D151" s="26"/>
      <c r="E151" s="41">
        <v>2979.04</v>
      </c>
      <c r="F151" s="28">
        <f t="shared" si="13"/>
        <v>-1.950942499904388E-2</v>
      </c>
      <c r="G151" s="26"/>
      <c r="H151" s="41">
        <v>1750.39</v>
      </c>
      <c r="I151" s="28">
        <f t="shared" si="14"/>
        <v>1.5847115346868109E-2</v>
      </c>
      <c r="J151" s="26"/>
      <c r="K151" s="41">
        <v>1303.29</v>
      </c>
      <c r="L151" s="28">
        <f t="shared" si="15"/>
        <v>-1.3497188845594707E-2</v>
      </c>
      <c r="M151" s="26"/>
      <c r="N151" s="23">
        <v>1584.72</v>
      </c>
      <c r="O151" s="28">
        <f t="shared" si="16"/>
        <v>1.7004788123732097E-2</v>
      </c>
      <c r="P151" s="26"/>
      <c r="Q151" s="23"/>
      <c r="R151" s="28" t="str">
        <f t="shared" si="17"/>
        <v/>
      </c>
      <c r="S151" s="27"/>
    </row>
    <row r="152" spans="1:19" x14ac:dyDescent="0.3">
      <c r="A152" s="24"/>
      <c r="B152">
        <v>63.65</v>
      </c>
      <c r="C152" s="42">
        <f t="shared" si="12"/>
        <v>0</v>
      </c>
      <c r="D152" s="26"/>
      <c r="E152" s="41">
        <v>3037.73</v>
      </c>
      <c r="F152" s="28">
        <f t="shared" si="13"/>
        <v>-1.5386024525886425E-2</v>
      </c>
      <c r="G152" s="26"/>
      <c r="H152" s="41">
        <v>1722.87</v>
      </c>
      <c r="I152" s="28">
        <f t="shared" si="14"/>
        <v>9.8224709934359253E-3</v>
      </c>
      <c r="J152" s="26"/>
      <c r="K152" s="41">
        <v>1321</v>
      </c>
      <c r="L152" s="28">
        <f t="shared" si="15"/>
        <v>0</v>
      </c>
      <c r="M152" s="26"/>
      <c r="N152" s="23">
        <v>1558</v>
      </c>
      <c r="O152" s="28">
        <f t="shared" si="16"/>
        <v>6.6265283323619891E-3</v>
      </c>
      <c r="P152" s="26"/>
      <c r="Q152" s="23"/>
      <c r="R152" s="28" t="str">
        <f t="shared" si="17"/>
        <v/>
      </c>
      <c r="S152" s="27"/>
    </row>
    <row r="153" spans="1:19" x14ac:dyDescent="0.3">
      <c r="A153" s="24"/>
      <c r="B153">
        <v>63.65</v>
      </c>
      <c r="C153" s="42">
        <f t="shared" si="12"/>
        <v>-1.4195698958277939E-2</v>
      </c>
      <c r="D153" s="26"/>
      <c r="E153" s="41">
        <v>3084.83</v>
      </c>
      <c r="F153" s="28">
        <f t="shared" si="13"/>
        <v>1.0204801884437757E-2</v>
      </c>
      <c r="G153" s="26"/>
      <c r="H153" s="41">
        <v>1706.03</v>
      </c>
      <c r="I153" s="28">
        <f t="shared" si="14"/>
        <v>-8.6260762960676356E-3</v>
      </c>
      <c r="J153" s="26"/>
      <c r="K153" s="41">
        <v>1321</v>
      </c>
      <c r="L153" s="28">
        <f t="shared" si="15"/>
        <v>1.5255826009819989E-2</v>
      </c>
      <c r="M153" s="26"/>
      <c r="N153" s="23">
        <v>1547.71</v>
      </c>
      <c r="O153" s="28">
        <f t="shared" si="16"/>
        <v>9.7977299277434739E-3</v>
      </c>
      <c r="P153" s="26"/>
      <c r="Q153" s="23"/>
      <c r="R153" s="28" t="str">
        <f t="shared" si="17"/>
        <v/>
      </c>
      <c r="S153" s="27"/>
    </row>
    <row r="154" spans="1:19" x14ac:dyDescent="0.3">
      <c r="A154" s="24"/>
      <c r="B154">
        <v>64.56</v>
      </c>
      <c r="C154" s="42">
        <f t="shared" si="12"/>
        <v>-7.2536779193670574E-3</v>
      </c>
      <c r="D154" s="26"/>
      <c r="E154" s="41">
        <v>3053.51</v>
      </c>
      <c r="F154" s="28">
        <f t="shared" si="13"/>
        <v>1.6347014704209264E-2</v>
      </c>
      <c r="G154" s="26"/>
      <c r="H154" s="41">
        <v>1720.81</v>
      </c>
      <c r="I154" s="28">
        <f t="shared" si="14"/>
        <v>1.493539388330873E-2</v>
      </c>
      <c r="J154" s="26"/>
      <c r="K154" s="41">
        <v>1301</v>
      </c>
      <c r="L154" s="28">
        <f t="shared" si="15"/>
        <v>-3.1132155485570724E-2</v>
      </c>
      <c r="M154" s="26"/>
      <c r="N154" s="23">
        <v>1532.62</v>
      </c>
      <c r="O154" s="28">
        <f t="shared" si="16"/>
        <v>0</v>
      </c>
      <c r="P154" s="26"/>
      <c r="Q154" s="23"/>
      <c r="R154" s="28" t="str">
        <f t="shared" si="17"/>
        <v/>
      </c>
      <c r="S154" s="27"/>
    </row>
    <row r="155" spans="1:19" x14ac:dyDescent="0.3">
      <c r="A155" s="24"/>
      <c r="B155">
        <v>65.03</v>
      </c>
      <c r="C155" s="42">
        <f t="shared" si="12"/>
        <v>-6.1491162583209697E-4</v>
      </c>
      <c r="D155" s="26"/>
      <c r="E155" s="41">
        <v>3004</v>
      </c>
      <c r="F155" s="28">
        <f t="shared" si="13"/>
        <v>-3.7910737649044096E-3</v>
      </c>
      <c r="G155" s="26"/>
      <c r="H155" s="41">
        <v>1695.3</v>
      </c>
      <c r="I155" s="28">
        <f t="shared" si="14"/>
        <v>0</v>
      </c>
      <c r="J155" s="26"/>
      <c r="K155" s="41">
        <v>1342.14</v>
      </c>
      <c r="L155" s="28">
        <f t="shared" si="15"/>
        <v>3.6720376984396723E-2</v>
      </c>
      <c r="M155" s="26"/>
      <c r="N155" s="23">
        <v>1532.62</v>
      </c>
      <c r="O155" s="28">
        <f t="shared" si="16"/>
        <v>3.1368064303310605E-3</v>
      </c>
      <c r="P155" s="26"/>
      <c r="Q155" s="23"/>
      <c r="R155" s="28" t="str">
        <f t="shared" si="17"/>
        <v/>
      </c>
      <c r="S155" s="27"/>
    </row>
    <row r="156" spans="1:19" x14ac:dyDescent="0.3">
      <c r="A156" s="24"/>
      <c r="B156">
        <v>65.069999999999993</v>
      </c>
      <c r="C156" s="42">
        <f t="shared" si="12"/>
        <v>-2.0082829224175369E-2</v>
      </c>
      <c r="D156" s="26"/>
      <c r="E156" s="41">
        <v>3015.41</v>
      </c>
      <c r="F156" s="28">
        <f t="shared" si="13"/>
        <v>-3.3835265947893996E-3</v>
      </c>
      <c r="G156" s="26"/>
      <c r="H156" s="41">
        <v>1695.3</v>
      </c>
      <c r="I156" s="28">
        <f t="shared" si="14"/>
        <v>6.456235865864076E-3</v>
      </c>
      <c r="J156" s="26"/>
      <c r="K156" s="41">
        <v>1293.75</v>
      </c>
      <c r="L156" s="28">
        <f t="shared" si="15"/>
        <v>7.5647727637726727E-3</v>
      </c>
      <c r="M156" s="26"/>
      <c r="N156" s="23">
        <v>1527.82</v>
      </c>
      <c r="O156" s="28">
        <f t="shared" si="16"/>
        <v>-8.4923294520662575E-3</v>
      </c>
      <c r="P156" s="26"/>
      <c r="Q156" s="23"/>
      <c r="R156" s="28" t="str">
        <f t="shared" si="17"/>
        <v/>
      </c>
      <c r="S156" s="27"/>
    </row>
    <row r="157" spans="1:19" x14ac:dyDescent="0.3">
      <c r="A157" s="24"/>
      <c r="B157">
        <v>66.39</v>
      </c>
      <c r="C157" s="42">
        <f t="shared" si="12"/>
        <v>-3.4583900344657128E-3</v>
      </c>
      <c r="D157" s="26"/>
      <c r="E157" s="41">
        <v>3025.63</v>
      </c>
      <c r="F157" s="28">
        <f t="shared" si="13"/>
        <v>-5.0604976280656843E-3</v>
      </c>
      <c r="G157" s="26"/>
      <c r="H157" s="41">
        <v>1684.39</v>
      </c>
      <c r="I157" s="28">
        <f t="shared" si="14"/>
        <v>-2.0926624306042758E-2</v>
      </c>
      <c r="J157" s="26"/>
      <c r="K157" s="41">
        <v>1284</v>
      </c>
      <c r="L157" s="28">
        <f t="shared" si="15"/>
        <v>-7.3019362929264472E-3</v>
      </c>
      <c r="M157" s="26"/>
      <c r="N157" s="23">
        <v>1540.85</v>
      </c>
      <c r="O157" s="28">
        <f t="shared" si="16"/>
        <v>2.1764915116503796E-3</v>
      </c>
      <c r="P157" s="26"/>
      <c r="Q157" s="23"/>
      <c r="R157" s="28" t="str">
        <f t="shared" si="17"/>
        <v/>
      </c>
      <c r="S157" s="27"/>
    </row>
    <row r="158" spans="1:19" x14ac:dyDescent="0.3">
      <c r="A158" s="24"/>
      <c r="B158">
        <v>66.62</v>
      </c>
      <c r="C158" s="42">
        <f t="shared" si="12"/>
        <v>-2.3988017499748E-3</v>
      </c>
      <c r="D158" s="26"/>
      <c r="E158" s="41">
        <v>3040.98</v>
      </c>
      <c r="F158" s="28">
        <f t="shared" si="13"/>
        <v>-1.2553856701002413E-3</v>
      </c>
      <c r="G158" s="26"/>
      <c r="H158" s="41">
        <v>1720.01</v>
      </c>
      <c r="I158" s="28">
        <f t="shared" si="14"/>
        <v>2.0544225308818851E-3</v>
      </c>
      <c r="J158" s="26"/>
      <c r="K158" s="41">
        <v>1293.4100000000001</v>
      </c>
      <c r="L158" s="28">
        <f t="shared" si="15"/>
        <v>2.4941017892444024E-2</v>
      </c>
      <c r="M158" s="26"/>
      <c r="N158" s="23">
        <v>1537.5</v>
      </c>
      <c r="O158" s="28">
        <f t="shared" si="16"/>
        <v>1.4966729365932243E-2</v>
      </c>
      <c r="P158" s="26"/>
      <c r="Q158" s="23"/>
      <c r="R158" s="28" t="str">
        <f t="shared" si="17"/>
        <v/>
      </c>
      <c r="S158" s="27"/>
    </row>
    <row r="159" spans="1:19" x14ac:dyDescent="0.3">
      <c r="A159" s="24"/>
      <c r="B159">
        <v>66.78</v>
      </c>
      <c r="C159" s="42">
        <f t="shared" si="12"/>
        <v>-1.766279684303837E-2</v>
      </c>
      <c r="D159" s="26"/>
      <c r="E159" s="41">
        <v>3044.8</v>
      </c>
      <c r="F159" s="28">
        <f t="shared" si="13"/>
        <v>2.2423966863095381E-3</v>
      </c>
      <c r="G159" s="26"/>
      <c r="H159" s="41">
        <v>1716.48</v>
      </c>
      <c r="I159" s="28">
        <f t="shared" si="14"/>
        <v>8.4951541186879236E-3</v>
      </c>
      <c r="J159" s="26"/>
      <c r="K159" s="41">
        <v>1261.55</v>
      </c>
      <c r="L159" s="28">
        <f t="shared" si="15"/>
        <v>-1.1883071983753884E-3</v>
      </c>
      <c r="M159" s="26"/>
      <c r="N159" s="23">
        <v>1514.66</v>
      </c>
      <c r="O159" s="28">
        <f t="shared" si="16"/>
        <v>-8.683617258309826E-3</v>
      </c>
      <c r="P159" s="26"/>
      <c r="Q159" s="23"/>
      <c r="R159" s="28" t="str">
        <f t="shared" si="17"/>
        <v/>
      </c>
      <c r="S159" s="27"/>
    </row>
    <row r="160" spans="1:19" x14ac:dyDescent="0.3">
      <c r="A160" s="24"/>
      <c r="B160">
        <v>67.97</v>
      </c>
      <c r="C160" s="42">
        <f t="shared" si="12"/>
        <v>1.0303967938964016E-3</v>
      </c>
      <c r="D160" s="26"/>
      <c r="E160" s="41">
        <v>3037.98</v>
      </c>
      <c r="F160" s="28">
        <f t="shared" si="13"/>
        <v>-8.727497351766202E-3</v>
      </c>
      <c r="G160" s="26"/>
      <c r="H160" s="41">
        <v>1701.96</v>
      </c>
      <c r="I160" s="28">
        <f t="shared" si="14"/>
        <v>-8.1105723466196444E-3</v>
      </c>
      <c r="J160" s="26"/>
      <c r="K160" s="41">
        <v>1263.05</v>
      </c>
      <c r="L160" s="28">
        <f t="shared" si="15"/>
        <v>-1.2541273091225174E-2</v>
      </c>
      <c r="M160" s="26"/>
      <c r="N160" s="23">
        <v>1527.87</v>
      </c>
      <c r="O160" s="28">
        <f t="shared" si="16"/>
        <v>-7.8948207373053143E-3</v>
      </c>
      <c r="P160" s="26"/>
      <c r="Q160" s="23"/>
      <c r="R160" s="28" t="str">
        <f t="shared" si="17"/>
        <v/>
      </c>
      <c r="S160" s="27"/>
    </row>
    <row r="161" spans="1:19" x14ac:dyDescent="0.3">
      <c r="A161" s="24"/>
      <c r="B161">
        <v>67.900000000000006</v>
      </c>
      <c r="C161" s="42">
        <f t="shared" si="12"/>
        <v>-2.500552895209424E-3</v>
      </c>
      <c r="D161" s="26"/>
      <c r="E161" s="41">
        <v>3064.61</v>
      </c>
      <c r="F161" s="28">
        <f t="shared" si="13"/>
        <v>1.1525233535306556E-3</v>
      </c>
      <c r="G161" s="26"/>
      <c r="H161" s="41">
        <v>1715.82</v>
      </c>
      <c r="I161" s="28">
        <f t="shared" si="14"/>
        <v>-5.1620218562187532E-3</v>
      </c>
      <c r="J161" s="26"/>
      <c r="K161" s="41">
        <v>1278.99</v>
      </c>
      <c r="L161" s="28">
        <f t="shared" si="15"/>
        <v>-7.8937397367335462E-4</v>
      </c>
      <c r="M161" s="26"/>
      <c r="N161" s="23">
        <v>1539.98</v>
      </c>
      <c r="O161" s="28">
        <f t="shared" si="16"/>
        <v>1.0942914107355109E-2</v>
      </c>
      <c r="P161" s="26"/>
      <c r="Q161" s="23"/>
      <c r="R161" s="28" t="str">
        <f t="shared" si="17"/>
        <v/>
      </c>
      <c r="S161" s="27"/>
    </row>
    <row r="162" spans="1:19" x14ac:dyDescent="0.3">
      <c r="A162" s="24"/>
      <c r="B162">
        <v>68.069999999999993</v>
      </c>
      <c r="C162" s="42">
        <f t="shared" si="12"/>
        <v>5.0073742330475129E-3</v>
      </c>
      <c r="D162" s="26"/>
      <c r="E162" s="41">
        <v>3061.08</v>
      </c>
      <c r="F162" s="28">
        <f t="shared" si="13"/>
        <v>-1.3869037908237168E-2</v>
      </c>
      <c r="G162" s="26"/>
      <c r="H162" s="41">
        <v>1724.7</v>
      </c>
      <c r="I162" s="28">
        <f t="shared" si="14"/>
        <v>5.476789717521858E-3</v>
      </c>
      <c r="J162" s="26"/>
      <c r="K162" s="41">
        <v>1280</v>
      </c>
      <c r="L162" s="28">
        <f t="shared" si="15"/>
        <v>1.5637219761827589E-3</v>
      </c>
      <c r="M162" s="26"/>
      <c r="N162" s="23">
        <v>1523.22</v>
      </c>
      <c r="O162" s="28">
        <f t="shared" si="16"/>
        <v>-2.4493720142008023E-2</v>
      </c>
      <c r="P162" s="26"/>
      <c r="Q162" s="23"/>
      <c r="R162" s="28" t="str">
        <f t="shared" si="17"/>
        <v/>
      </c>
      <c r="S162" s="27"/>
    </row>
    <row r="163" spans="1:19" x14ac:dyDescent="0.3">
      <c r="A163" s="24"/>
      <c r="B163">
        <v>67.73</v>
      </c>
      <c r="C163" s="42">
        <f t="shared" si="12"/>
        <v>9.1961490566645019E-3</v>
      </c>
      <c r="D163" s="26"/>
      <c r="E163" s="41">
        <v>3103.83</v>
      </c>
      <c r="F163" s="28">
        <f t="shared" si="13"/>
        <v>-1.549868463345941E-2</v>
      </c>
      <c r="G163" s="26"/>
      <c r="H163" s="41">
        <v>1715.28</v>
      </c>
      <c r="I163" s="28">
        <f t="shared" si="14"/>
        <v>-3.4877398004503936E-2</v>
      </c>
      <c r="J163" s="26"/>
      <c r="K163" s="41">
        <v>1278</v>
      </c>
      <c r="L163" s="28">
        <f t="shared" si="15"/>
        <v>9.6157233037422983E-3</v>
      </c>
      <c r="M163" s="26"/>
      <c r="N163" s="23">
        <v>1560.99</v>
      </c>
      <c r="O163" s="28">
        <f t="shared" si="16"/>
        <v>3.780383117716743E-3</v>
      </c>
      <c r="P163" s="26"/>
      <c r="Q163" s="23"/>
      <c r="R163" s="28" t="str">
        <f t="shared" si="17"/>
        <v/>
      </c>
      <c r="S163" s="27"/>
    </row>
    <row r="164" spans="1:19" x14ac:dyDescent="0.3">
      <c r="A164" s="24"/>
      <c r="B164">
        <v>67.11</v>
      </c>
      <c r="C164" s="42">
        <f t="shared" si="12"/>
        <v>-2.0500681098031635E-2</v>
      </c>
      <c r="D164" s="26"/>
      <c r="E164" s="41">
        <v>3152.31</v>
      </c>
      <c r="F164" s="28">
        <f t="shared" si="13"/>
        <v>7.0705644898742424E-3</v>
      </c>
      <c r="G164" s="26"/>
      <c r="H164" s="41">
        <v>1776.16</v>
      </c>
      <c r="I164" s="28">
        <f t="shared" si="14"/>
        <v>-1.1703805072194315E-3</v>
      </c>
      <c r="J164" s="26"/>
      <c r="K164" s="41">
        <v>1265.77</v>
      </c>
      <c r="L164" s="28">
        <f t="shared" si="15"/>
        <v>2.2385417392205349E-2</v>
      </c>
      <c r="M164" s="26"/>
      <c r="N164" s="23">
        <v>1555.1</v>
      </c>
      <c r="O164" s="28">
        <f t="shared" si="16"/>
        <v>1.7128692747553687E-2</v>
      </c>
      <c r="P164" s="26"/>
      <c r="Q164" s="23"/>
      <c r="R164" s="28" t="str">
        <f t="shared" si="17"/>
        <v/>
      </c>
      <c r="S164" s="27"/>
    </row>
    <row r="165" spans="1:19" x14ac:dyDescent="0.3">
      <c r="A165" s="24"/>
      <c r="B165">
        <v>68.5</v>
      </c>
      <c r="C165" s="42">
        <f t="shared" si="12"/>
        <v>-7.2727593290798087E-3</v>
      </c>
      <c r="D165" s="26"/>
      <c r="E165" s="41">
        <v>3130.1</v>
      </c>
      <c r="F165" s="28">
        <f t="shared" si="13"/>
        <v>-6.213682725204157E-3</v>
      </c>
      <c r="G165" s="26"/>
      <c r="H165" s="41">
        <v>1778.24</v>
      </c>
      <c r="I165" s="28">
        <f t="shared" si="14"/>
        <v>2.2494404517897879E-5</v>
      </c>
      <c r="J165" s="26"/>
      <c r="K165" s="41">
        <v>1237.75</v>
      </c>
      <c r="L165" s="28">
        <f t="shared" si="15"/>
        <v>1.3215603543737358E-2</v>
      </c>
      <c r="M165" s="26"/>
      <c r="N165" s="23">
        <v>1528.69</v>
      </c>
      <c r="O165" s="28">
        <f t="shared" si="16"/>
        <v>-3.1113148483300292E-2</v>
      </c>
      <c r="P165" s="26"/>
      <c r="Q165" s="23"/>
      <c r="R165" s="28" t="str">
        <f t="shared" si="17"/>
        <v/>
      </c>
      <c r="S165" s="27"/>
    </row>
    <row r="166" spans="1:19" x14ac:dyDescent="0.3">
      <c r="A166" s="24"/>
      <c r="B166">
        <v>69</v>
      </c>
      <c r="C166" s="42">
        <f t="shared" si="12"/>
        <v>9.611257910113585E-3</v>
      </c>
      <c r="D166" s="26"/>
      <c r="E166" s="41">
        <v>3149.61</v>
      </c>
      <c r="F166" s="28">
        <f t="shared" si="13"/>
        <v>-1.0074148042009332E-2</v>
      </c>
      <c r="G166" s="26"/>
      <c r="H166" s="41">
        <v>1778.2</v>
      </c>
      <c r="I166" s="28">
        <f t="shared" si="14"/>
        <v>1.8011937775223627E-3</v>
      </c>
      <c r="J166" s="26"/>
      <c r="K166" s="41">
        <v>1221.5</v>
      </c>
      <c r="L166" s="28">
        <f t="shared" si="15"/>
        <v>-7.747235486658322E-3</v>
      </c>
      <c r="M166" s="26"/>
      <c r="N166" s="23">
        <v>1577</v>
      </c>
      <c r="O166" s="28">
        <f t="shared" si="16"/>
        <v>-1.159758418621034E-3</v>
      </c>
      <c r="P166" s="26"/>
      <c r="Q166" s="23"/>
      <c r="R166" s="28" t="str">
        <f t="shared" si="17"/>
        <v/>
      </c>
      <c r="S166" s="27"/>
    </row>
    <row r="167" spans="1:19" x14ac:dyDescent="0.3">
      <c r="A167" s="24"/>
      <c r="B167">
        <v>68.34</v>
      </c>
      <c r="C167" s="42">
        <f t="shared" si="12"/>
        <v>2.7293299025337333E-2</v>
      </c>
      <c r="D167" s="26"/>
      <c r="E167" s="41">
        <v>3181.5</v>
      </c>
      <c r="F167" s="28">
        <f t="shared" si="13"/>
        <v>2.2435962317891673E-3</v>
      </c>
      <c r="G167" s="26"/>
      <c r="H167" s="41">
        <v>1775</v>
      </c>
      <c r="I167" s="28">
        <f t="shared" si="14"/>
        <v>-1.6999626949945011E-3</v>
      </c>
      <c r="J167" s="26"/>
      <c r="K167" s="41">
        <v>1231</v>
      </c>
      <c r="L167" s="28">
        <f t="shared" si="15"/>
        <v>-2.1107902703556884E-2</v>
      </c>
      <c r="M167" s="26"/>
      <c r="N167" s="23">
        <v>1578.83</v>
      </c>
      <c r="O167" s="28">
        <f t="shared" si="16"/>
        <v>-2.5682237715989871E-3</v>
      </c>
      <c r="P167" s="26"/>
      <c r="Q167" s="23"/>
      <c r="R167" s="28" t="str">
        <f t="shared" si="17"/>
        <v/>
      </c>
      <c r="S167" s="27"/>
    </row>
    <row r="168" spans="1:19" x14ac:dyDescent="0.3">
      <c r="A168" s="24"/>
      <c r="B168">
        <v>66.5</v>
      </c>
      <c r="C168" s="42">
        <f t="shared" si="12"/>
        <v>1.4693894610402922E-2</v>
      </c>
      <c r="D168" s="26"/>
      <c r="E168" s="41">
        <v>3174.37</v>
      </c>
      <c r="F168" s="28">
        <f t="shared" si="13"/>
        <v>-2.3975997741749744E-3</v>
      </c>
      <c r="G168" s="26"/>
      <c r="H168" s="41">
        <v>1778.02</v>
      </c>
      <c r="I168" s="28">
        <f t="shared" si="14"/>
        <v>-5.1441683500983975E-3</v>
      </c>
      <c r="J168" s="26"/>
      <c r="K168" s="41">
        <v>1257.26</v>
      </c>
      <c r="L168" s="28">
        <f t="shared" si="15"/>
        <v>-1.3022704783955136E-2</v>
      </c>
      <c r="M168" s="26"/>
      <c r="N168" s="23">
        <v>1582.89</v>
      </c>
      <c r="O168" s="28">
        <f t="shared" si="16"/>
        <v>7.5399308976373093E-3</v>
      </c>
      <c r="P168" s="26"/>
      <c r="Q168" s="23"/>
      <c r="R168" s="28" t="str">
        <f t="shared" si="17"/>
        <v/>
      </c>
      <c r="S168" s="27"/>
    </row>
    <row r="169" spans="1:19" x14ac:dyDescent="0.3">
      <c r="A169" s="24"/>
      <c r="B169">
        <v>65.53</v>
      </c>
      <c r="C169" s="42">
        <f t="shared" si="12"/>
        <v>-2.1341471514757788E-3</v>
      </c>
      <c r="D169" s="26"/>
      <c r="E169" s="41">
        <v>3181.99</v>
      </c>
      <c r="F169" s="28">
        <f t="shared" si="13"/>
        <v>3.3273501165301139E-3</v>
      </c>
      <c r="G169" s="26"/>
      <c r="H169" s="41">
        <v>1787.19</v>
      </c>
      <c r="I169" s="28">
        <f t="shared" si="14"/>
        <v>-9.7977647970909743E-2</v>
      </c>
      <c r="J169" s="26"/>
      <c r="K169" s="41">
        <v>1273.74</v>
      </c>
      <c r="L169" s="28">
        <f t="shared" si="15"/>
        <v>-0.17675288016835655</v>
      </c>
      <c r="M169" s="26"/>
      <c r="N169" s="23">
        <v>1571</v>
      </c>
      <c r="O169" s="28">
        <f t="shared" si="16"/>
        <v>3.3218703138885391E-3</v>
      </c>
      <c r="P169" s="26"/>
      <c r="Q169" s="23"/>
      <c r="R169" s="28" t="str">
        <f t="shared" si="17"/>
        <v/>
      </c>
      <c r="S169" s="27"/>
    </row>
    <row r="170" spans="1:19" x14ac:dyDescent="0.3">
      <c r="A170" s="24"/>
      <c r="B170">
        <v>65.67</v>
      </c>
      <c r="C170" s="42">
        <f t="shared" si="12"/>
        <v>2.0460678392001028E-2</v>
      </c>
      <c r="D170" s="26"/>
      <c r="E170" s="41">
        <v>3171.42</v>
      </c>
      <c r="F170" s="28">
        <f t="shared" si="13"/>
        <v>3.8890947569270549E-3</v>
      </c>
      <c r="G170" s="26"/>
      <c r="H170" s="41">
        <v>1971.16</v>
      </c>
      <c r="I170" s="28">
        <f t="shared" si="14"/>
        <v>2.2766796135173434E-2</v>
      </c>
      <c r="J170" s="26"/>
      <c r="K170" s="41">
        <v>1520</v>
      </c>
      <c r="L170" s="28">
        <f t="shared" si="15"/>
        <v>1.0595407291294909E-2</v>
      </c>
      <c r="M170" s="26"/>
      <c r="N170" s="23">
        <v>1565.79</v>
      </c>
      <c r="O170" s="28">
        <f t="shared" si="16"/>
        <v>-7.1274778471105043E-3</v>
      </c>
      <c r="P170" s="26"/>
      <c r="Q170" s="23"/>
      <c r="R170" s="28" t="str">
        <f t="shared" si="17"/>
        <v/>
      </c>
      <c r="S170" s="27"/>
    </row>
    <row r="171" spans="1:19" x14ac:dyDescent="0.3">
      <c r="A171" s="24"/>
      <c r="B171">
        <v>64.34</v>
      </c>
      <c r="C171" s="42">
        <f t="shared" si="12"/>
        <v>1.329910862852168E-2</v>
      </c>
      <c r="D171" s="26"/>
      <c r="E171" s="41">
        <v>3159.11</v>
      </c>
      <c r="F171" s="28">
        <f t="shared" si="13"/>
        <v>7.5335847073447941E-3</v>
      </c>
      <c r="G171" s="26"/>
      <c r="H171" s="41">
        <v>1926.79</v>
      </c>
      <c r="I171" s="28">
        <f t="shared" si="14"/>
        <v>5.928927702826518E-3</v>
      </c>
      <c r="J171" s="26"/>
      <c r="K171" s="41">
        <v>1503.98</v>
      </c>
      <c r="L171" s="28">
        <f t="shared" si="15"/>
        <v>-1.0595407291294812E-2</v>
      </c>
      <c r="M171" s="26"/>
      <c r="N171" s="23">
        <v>1576.99</v>
      </c>
      <c r="O171" s="28">
        <f t="shared" si="16"/>
        <v>-3.1782236312937195E-3</v>
      </c>
      <c r="P171" s="26"/>
      <c r="Q171" s="23"/>
      <c r="R171" s="28" t="str">
        <f t="shared" si="17"/>
        <v/>
      </c>
      <c r="S171" s="27"/>
    </row>
    <row r="172" spans="1:19" x14ac:dyDescent="0.3">
      <c r="A172" s="24"/>
      <c r="B172">
        <v>63.49</v>
      </c>
      <c r="C172" s="42">
        <f t="shared" si="12"/>
        <v>-6.7498882756606374E-3</v>
      </c>
      <c r="D172" s="26"/>
      <c r="E172" s="41">
        <v>3135.4</v>
      </c>
      <c r="F172" s="28">
        <f t="shared" si="13"/>
        <v>2.1753690574460659E-2</v>
      </c>
      <c r="G172" s="26"/>
      <c r="H172" s="41">
        <v>1915.4</v>
      </c>
      <c r="I172" s="28">
        <f t="shared" si="14"/>
        <v>9.1205092276264773E-3</v>
      </c>
      <c r="J172" s="26"/>
      <c r="K172" s="41">
        <v>1520</v>
      </c>
      <c r="L172" s="28">
        <f t="shared" si="15"/>
        <v>6.5940615367246066E-3</v>
      </c>
      <c r="M172" s="26"/>
      <c r="N172" s="23">
        <v>1582.01</v>
      </c>
      <c r="O172" s="28">
        <f t="shared" si="16"/>
        <v>-1.2825036673343119E-2</v>
      </c>
      <c r="P172" s="26"/>
      <c r="Q172" s="23"/>
      <c r="R172" s="28" t="str">
        <f t="shared" si="17"/>
        <v/>
      </c>
      <c r="S172" s="27"/>
    </row>
    <row r="173" spans="1:19" x14ac:dyDescent="0.3">
      <c r="A173" s="24"/>
      <c r="B173">
        <v>63.92</v>
      </c>
      <c r="C173" s="42">
        <f t="shared" si="12"/>
        <v>-4.4968579533933253E-2</v>
      </c>
      <c r="D173" s="26"/>
      <c r="E173" s="41">
        <v>3067.93</v>
      </c>
      <c r="F173" s="28">
        <f t="shared" si="13"/>
        <v>-2.4254037813828976E-3</v>
      </c>
      <c r="G173" s="26"/>
      <c r="H173" s="41">
        <v>1898.01</v>
      </c>
      <c r="I173" s="28">
        <f t="shared" si="14"/>
        <v>-2.3786104769848025E-3</v>
      </c>
      <c r="J173" s="26"/>
      <c r="K173" s="41">
        <v>1510.01</v>
      </c>
      <c r="L173" s="28">
        <f t="shared" si="15"/>
        <v>-3.2859642326017961E-3</v>
      </c>
      <c r="M173" s="26"/>
      <c r="N173" s="23">
        <v>1602.43</v>
      </c>
      <c r="O173" s="28">
        <f t="shared" si="16"/>
        <v>-5.0545084547741819E-3</v>
      </c>
      <c r="P173" s="26"/>
      <c r="Q173" s="23"/>
      <c r="R173" s="28" t="str">
        <f t="shared" si="17"/>
        <v/>
      </c>
      <c r="S173" s="27"/>
    </row>
    <row r="174" spans="1:19" x14ac:dyDescent="0.3">
      <c r="A174" s="24"/>
      <c r="B174">
        <v>66.86</v>
      </c>
      <c r="C174" s="42">
        <f t="shared" si="12"/>
        <v>6.0006180655044926E-3</v>
      </c>
      <c r="D174" s="26"/>
      <c r="E174" s="41">
        <v>3075.38</v>
      </c>
      <c r="F174" s="28">
        <f t="shared" si="13"/>
        <v>-1.3030545633381963E-3</v>
      </c>
      <c r="G174" s="26"/>
      <c r="H174" s="41">
        <v>1902.53</v>
      </c>
      <c r="I174" s="28">
        <f t="shared" si="14"/>
        <v>-9.1301899640295475E-3</v>
      </c>
      <c r="J174" s="26"/>
      <c r="K174" s="41">
        <v>1514.98</v>
      </c>
      <c r="L174" s="28">
        <f t="shared" si="15"/>
        <v>1.4608021095796158E-2</v>
      </c>
      <c r="M174" s="26"/>
      <c r="N174" s="23">
        <v>1610.55</v>
      </c>
      <c r="O174" s="28">
        <f t="shared" si="16"/>
        <v>-4.5532764630369397E-3</v>
      </c>
      <c r="P174" s="26"/>
      <c r="Q174" s="23"/>
      <c r="R174" s="28" t="str">
        <f t="shared" si="17"/>
        <v/>
      </c>
      <c r="S174" s="27"/>
    </row>
    <row r="175" spans="1:19" x14ac:dyDescent="0.3">
      <c r="A175" s="24"/>
      <c r="B175">
        <v>66.459999999999994</v>
      </c>
      <c r="C175" s="42">
        <f t="shared" si="12"/>
        <v>-1.6415829013151261E-2</v>
      </c>
      <c r="D175" s="26"/>
      <c r="E175" s="41">
        <v>3079.39</v>
      </c>
      <c r="F175" s="28">
        <f t="shared" si="13"/>
        <v>3.1232286141267471E-2</v>
      </c>
      <c r="G175" s="26"/>
      <c r="H175" s="41">
        <v>1919.98</v>
      </c>
      <c r="I175" s="28">
        <f t="shared" si="14"/>
        <v>-2.6215879773958933E-3</v>
      </c>
      <c r="J175" s="26"/>
      <c r="K175" s="41">
        <v>1493.01</v>
      </c>
      <c r="L175" s="28">
        <f t="shared" si="15"/>
        <v>-2.1180521276462562E-2</v>
      </c>
      <c r="M175" s="26"/>
      <c r="N175" s="23">
        <v>1617.9</v>
      </c>
      <c r="O175" s="28">
        <f t="shared" si="16"/>
        <v>5.2737868142751091E-3</v>
      </c>
      <c r="P175" s="26"/>
      <c r="Q175" s="23"/>
      <c r="R175" s="28" t="str">
        <f t="shared" si="17"/>
        <v/>
      </c>
      <c r="S175" s="27"/>
    </row>
    <row r="176" spans="1:19" x14ac:dyDescent="0.3">
      <c r="A176" s="24"/>
      <c r="B176">
        <v>67.56</v>
      </c>
      <c r="C176" s="42">
        <f t="shared" si="12"/>
        <v>2.7764971029823043E-2</v>
      </c>
      <c r="D176" s="26"/>
      <c r="E176" s="41">
        <v>2984.7</v>
      </c>
      <c r="F176" s="28">
        <f t="shared" si="13"/>
        <v>-1.1697987680176648E-2</v>
      </c>
      <c r="G176" s="26"/>
      <c r="H176" s="41">
        <v>1925.02</v>
      </c>
      <c r="I176" s="28">
        <f t="shared" si="14"/>
        <v>-1.0536394474863318E-2</v>
      </c>
      <c r="J176" s="26"/>
      <c r="K176" s="41">
        <v>1524.97</v>
      </c>
      <c r="L176" s="28">
        <f t="shared" si="15"/>
        <v>1.9848530892078872E-2</v>
      </c>
      <c r="M176" s="26"/>
      <c r="N176" s="23">
        <v>1609.39</v>
      </c>
      <c r="O176" s="28">
        <f t="shared" si="16"/>
        <v>5.4454284663322632E-3</v>
      </c>
      <c r="P176" s="26"/>
      <c r="Q176" s="23"/>
      <c r="R176" s="28" t="str">
        <f t="shared" si="17"/>
        <v/>
      </c>
      <c r="S176" s="27"/>
    </row>
    <row r="177" spans="1:19" x14ac:dyDescent="0.3">
      <c r="A177" s="24"/>
      <c r="B177">
        <v>65.709999999999994</v>
      </c>
      <c r="C177" s="42">
        <f t="shared" si="12"/>
        <v>7.4849505486033309E-3</v>
      </c>
      <c r="D177" s="26"/>
      <c r="E177" s="41">
        <v>3019.82</v>
      </c>
      <c r="F177" s="28">
        <f t="shared" si="13"/>
        <v>-9.373709062212153E-3</v>
      </c>
      <c r="G177" s="26"/>
      <c r="H177" s="41">
        <v>1945.41</v>
      </c>
      <c r="I177" s="28">
        <f t="shared" si="14"/>
        <v>7.9527488542347168E-3</v>
      </c>
      <c r="J177" s="26"/>
      <c r="K177" s="41">
        <v>1495</v>
      </c>
      <c r="L177" s="28">
        <f t="shared" si="15"/>
        <v>4.6932704317495669E-3</v>
      </c>
      <c r="M177" s="26"/>
      <c r="N177" s="23">
        <v>1600.65</v>
      </c>
      <c r="O177" s="28">
        <f t="shared" si="16"/>
        <v>-1.139887794695154E-2</v>
      </c>
      <c r="P177" s="26"/>
      <c r="Q177" s="23"/>
      <c r="R177" s="28" t="str">
        <f t="shared" si="17"/>
        <v/>
      </c>
      <c r="S177" s="27"/>
    </row>
    <row r="178" spans="1:19" x14ac:dyDescent="0.3">
      <c r="A178" s="24"/>
      <c r="B178">
        <v>65.22</v>
      </c>
      <c r="C178" s="42">
        <f t="shared" si="12"/>
        <v>1.7165812362007166E-2</v>
      </c>
      <c r="D178" s="26"/>
      <c r="E178" s="41">
        <v>3048.26</v>
      </c>
      <c r="F178" s="28">
        <f t="shared" si="13"/>
        <v>4.6923510816725767E-3</v>
      </c>
      <c r="G178" s="26"/>
      <c r="H178" s="41">
        <v>1930</v>
      </c>
      <c r="I178" s="28">
        <f t="shared" si="14"/>
        <v>7.7867146105476273E-3</v>
      </c>
      <c r="J178" s="26"/>
      <c r="K178" s="41">
        <v>1488</v>
      </c>
      <c r="L178" s="28">
        <f t="shared" si="15"/>
        <v>1.5577693941869593E-2</v>
      </c>
      <c r="M178" s="26"/>
      <c r="N178" s="23">
        <v>1619</v>
      </c>
      <c r="O178" s="28">
        <f t="shared" si="16"/>
        <v>-4.3143364301208237E-3</v>
      </c>
      <c r="P178" s="26"/>
      <c r="Q178" s="23"/>
      <c r="R178" s="28" t="str">
        <f t="shared" si="17"/>
        <v/>
      </c>
      <c r="S178" s="27"/>
    </row>
    <row r="179" spans="1:19" x14ac:dyDescent="0.3">
      <c r="A179" s="24"/>
      <c r="B179">
        <v>64.11</v>
      </c>
      <c r="C179" s="42">
        <f t="shared" si="12"/>
        <v>-3.8919641250164949E-3</v>
      </c>
      <c r="D179" s="26"/>
      <c r="E179" s="41">
        <v>3033.99</v>
      </c>
      <c r="F179" s="28">
        <f t="shared" si="13"/>
        <v>1.7133474551940246E-2</v>
      </c>
      <c r="G179" s="26"/>
      <c r="H179" s="41">
        <v>1915.03</v>
      </c>
      <c r="I179" s="28">
        <f t="shared" si="14"/>
        <v>-5.1926794335009525E-3</v>
      </c>
      <c r="J179" s="26"/>
      <c r="K179" s="41">
        <v>1465</v>
      </c>
      <c r="L179" s="28">
        <f t="shared" si="15"/>
        <v>6.4714063993213753E-3</v>
      </c>
      <c r="M179" s="26"/>
      <c r="N179" s="23">
        <v>1626</v>
      </c>
      <c r="O179" s="28">
        <f t="shared" si="16"/>
        <v>-3.6403523395388345E-3</v>
      </c>
      <c r="P179" s="26"/>
      <c r="Q179" s="23"/>
      <c r="R179" s="28" t="str">
        <f t="shared" si="17"/>
        <v/>
      </c>
      <c r="S179" s="27"/>
    </row>
    <row r="180" spans="1:19" x14ac:dyDescent="0.3">
      <c r="A180" s="24"/>
      <c r="B180">
        <v>64.36</v>
      </c>
      <c r="C180" s="42">
        <f t="shared" si="12"/>
        <v>1.9613086528034198E-2</v>
      </c>
      <c r="D180" s="26"/>
      <c r="E180" s="41">
        <v>2982.45</v>
      </c>
      <c r="F180" s="28">
        <f t="shared" si="13"/>
        <v>-2.5885468591796006E-2</v>
      </c>
      <c r="G180" s="26"/>
      <c r="H180" s="41">
        <v>1925</v>
      </c>
      <c r="I180" s="28">
        <f t="shared" si="14"/>
        <v>-7.7362318074784518E-3</v>
      </c>
      <c r="J180" s="26"/>
      <c r="K180" s="41">
        <v>1455.55</v>
      </c>
      <c r="L180" s="28">
        <f t="shared" si="15"/>
        <v>2.3319504688660311E-2</v>
      </c>
      <c r="M180" s="26"/>
      <c r="N180" s="23">
        <v>1631.93</v>
      </c>
      <c r="O180" s="28">
        <f t="shared" si="16"/>
        <v>1.6589763888601065E-2</v>
      </c>
      <c r="P180" s="26"/>
      <c r="Q180" s="23"/>
      <c r="R180" s="28" t="str">
        <f t="shared" si="17"/>
        <v/>
      </c>
      <c r="S180" s="27"/>
    </row>
    <row r="181" spans="1:19" x14ac:dyDescent="0.3">
      <c r="A181" s="24"/>
      <c r="B181">
        <v>63.11</v>
      </c>
      <c r="C181" s="42">
        <f t="shared" si="12"/>
        <v>-9.9330733930422209E-3</v>
      </c>
      <c r="D181" s="26"/>
      <c r="E181" s="41">
        <v>3060.66</v>
      </c>
      <c r="F181" s="28">
        <f t="shared" si="13"/>
        <v>-3.7014915066021859E-3</v>
      </c>
      <c r="G181" s="26"/>
      <c r="H181" s="41">
        <v>1939.95</v>
      </c>
      <c r="I181" s="28">
        <f t="shared" si="14"/>
        <v>6.1893768566601455E-3</v>
      </c>
      <c r="J181" s="26"/>
      <c r="K181" s="41">
        <v>1422</v>
      </c>
      <c r="L181" s="28">
        <f t="shared" si="15"/>
        <v>9.8940736451985367E-3</v>
      </c>
      <c r="M181" s="26"/>
      <c r="N181" s="23">
        <v>1605.08</v>
      </c>
      <c r="O181" s="28">
        <f t="shared" si="16"/>
        <v>9.4081372979679771E-3</v>
      </c>
      <c r="P181" s="26"/>
      <c r="Q181" s="23"/>
      <c r="R181" s="28" t="str">
        <f t="shared" si="17"/>
        <v/>
      </c>
      <c r="S181" s="27"/>
    </row>
    <row r="182" spans="1:19" x14ac:dyDescent="0.3">
      <c r="A182" s="24"/>
      <c r="B182">
        <v>63.74</v>
      </c>
      <c r="C182" s="42">
        <f t="shared" si="12"/>
        <v>3.772403090544356E-3</v>
      </c>
      <c r="D182" s="26"/>
      <c r="E182" s="41">
        <v>3072.01</v>
      </c>
      <c r="F182" s="28">
        <f t="shared" si="13"/>
        <v>-1.7556509491488022E-2</v>
      </c>
      <c r="G182" s="26"/>
      <c r="H182" s="41">
        <v>1927.98</v>
      </c>
      <c r="I182" s="28">
        <f t="shared" si="14"/>
        <v>-9.0873104410461678E-3</v>
      </c>
      <c r="J182" s="26"/>
      <c r="K182" s="41">
        <v>1408</v>
      </c>
      <c r="L182" s="28">
        <f t="shared" si="15"/>
        <v>-2.8652095458501243E-3</v>
      </c>
      <c r="M182" s="26"/>
      <c r="N182" s="23">
        <v>1590.05</v>
      </c>
      <c r="O182" s="28">
        <f t="shared" si="16"/>
        <v>2.1107336428333665E-2</v>
      </c>
      <c r="P182" s="26"/>
      <c r="Q182" s="23"/>
      <c r="R182" s="28" t="str">
        <f t="shared" si="17"/>
        <v/>
      </c>
      <c r="S182" s="27"/>
    </row>
    <row r="183" spans="1:19" x14ac:dyDescent="0.3">
      <c r="A183" s="24"/>
      <c r="B183">
        <v>63.5</v>
      </c>
      <c r="C183" s="42">
        <f t="shared" si="12"/>
        <v>-2.9788116211591917E-2</v>
      </c>
      <c r="D183" s="26"/>
      <c r="E183" s="41">
        <v>3126.42</v>
      </c>
      <c r="F183" s="28">
        <f t="shared" si="13"/>
        <v>1.9025682377019428E-2</v>
      </c>
      <c r="G183" s="26"/>
      <c r="H183" s="41">
        <v>1945.58</v>
      </c>
      <c r="I183" s="28">
        <f t="shared" si="14"/>
        <v>3.5965293478186763E-2</v>
      </c>
      <c r="J183" s="26"/>
      <c r="K183" s="41">
        <v>1412.04</v>
      </c>
      <c r="L183" s="28">
        <f t="shared" si="15"/>
        <v>-6.7963642068960724E-4</v>
      </c>
      <c r="M183" s="26"/>
      <c r="N183" s="23">
        <v>1556.84</v>
      </c>
      <c r="O183" s="28">
        <f t="shared" si="16"/>
        <v>1.8698435105926267E-2</v>
      </c>
      <c r="P183" s="26"/>
      <c r="Q183" s="23"/>
      <c r="R183" s="28" t="str">
        <f t="shared" si="17"/>
        <v/>
      </c>
      <c r="S183" s="27"/>
    </row>
    <row r="184" spans="1:19" x14ac:dyDescent="0.3">
      <c r="A184" s="24"/>
      <c r="B184">
        <v>65.42</v>
      </c>
      <c r="C184" s="42">
        <f t="shared" si="12"/>
        <v>8.7511113477851052E-3</v>
      </c>
      <c r="D184" s="26"/>
      <c r="E184" s="41">
        <v>3067.5</v>
      </c>
      <c r="F184" s="28">
        <f t="shared" si="13"/>
        <v>-9.2706676880746734E-3</v>
      </c>
      <c r="G184" s="26"/>
      <c r="H184" s="41">
        <v>1876.85</v>
      </c>
      <c r="I184" s="28">
        <f t="shared" si="14"/>
        <v>-1.037305863503829E-2</v>
      </c>
      <c r="J184" s="26"/>
      <c r="K184" s="41">
        <v>1413</v>
      </c>
      <c r="L184" s="28">
        <f t="shared" si="15"/>
        <v>-2.4739365860437621E-3</v>
      </c>
      <c r="M184" s="26"/>
      <c r="N184" s="23">
        <v>1528</v>
      </c>
      <c r="O184" s="28">
        <f t="shared" si="16"/>
        <v>9.4225251409342081E-3</v>
      </c>
      <c r="P184" s="26"/>
      <c r="Q184" s="23"/>
      <c r="R184" s="28" t="str">
        <f t="shared" si="17"/>
        <v/>
      </c>
      <c r="S184" s="27"/>
    </row>
    <row r="185" spans="1:19" x14ac:dyDescent="0.3">
      <c r="A185" s="24"/>
      <c r="B185">
        <v>64.849999999999994</v>
      </c>
      <c r="C185" s="42">
        <f t="shared" si="12"/>
        <v>-1.5606191890148878E-2</v>
      </c>
      <c r="D185" s="26"/>
      <c r="E185" s="41">
        <v>3096.07</v>
      </c>
      <c r="F185" s="28">
        <f t="shared" si="13"/>
        <v>-6.3876791168018541E-3</v>
      </c>
      <c r="G185" s="26"/>
      <c r="H185" s="41">
        <v>1896.42</v>
      </c>
      <c r="I185" s="28">
        <f t="shared" si="14"/>
        <v>-2.3956423594578422E-2</v>
      </c>
      <c r="J185" s="26"/>
      <c r="K185" s="41">
        <v>1416.5</v>
      </c>
      <c r="L185" s="28">
        <f t="shared" si="15"/>
        <v>-8.7788607341808857E-3</v>
      </c>
      <c r="M185" s="26"/>
      <c r="N185" s="23">
        <v>1513.67</v>
      </c>
      <c r="O185" s="28">
        <f t="shared" si="16"/>
        <v>3.2224689797500559E-2</v>
      </c>
      <c r="P185" s="26"/>
      <c r="Q185" s="23"/>
      <c r="R185" s="28" t="str">
        <f t="shared" si="17"/>
        <v/>
      </c>
      <c r="S185" s="27"/>
    </row>
    <row r="186" spans="1:19" x14ac:dyDescent="0.3">
      <c r="A186" s="24"/>
      <c r="B186">
        <v>65.87</v>
      </c>
      <c r="C186" s="42">
        <f t="shared" si="12"/>
        <v>1.34496907463441E-2</v>
      </c>
      <c r="D186" s="26"/>
      <c r="E186" s="41">
        <v>3115.91</v>
      </c>
      <c r="F186" s="28">
        <f t="shared" si="13"/>
        <v>2.0111605642452828E-2</v>
      </c>
      <c r="G186" s="26"/>
      <c r="H186" s="41">
        <v>1942.4</v>
      </c>
      <c r="I186" s="28">
        <f t="shared" si="14"/>
        <v>9.5179696395273818E-3</v>
      </c>
      <c r="J186" s="26"/>
      <c r="K186" s="41">
        <v>1428.99</v>
      </c>
      <c r="L186" s="28">
        <f t="shared" si="15"/>
        <v>-4.1760420470925361E-3</v>
      </c>
      <c r="M186" s="26"/>
      <c r="N186" s="23">
        <v>1465.67</v>
      </c>
      <c r="O186" s="28">
        <f t="shared" si="16"/>
        <v>-1.9144610904731574E-2</v>
      </c>
      <c r="P186" s="26"/>
      <c r="Q186" s="23"/>
      <c r="R186" s="28" t="str">
        <f t="shared" si="17"/>
        <v/>
      </c>
      <c r="S186" s="27"/>
    </row>
    <row r="187" spans="1:19" x14ac:dyDescent="0.3">
      <c r="A187" s="24"/>
      <c r="B187">
        <v>64.989999999999995</v>
      </c>
      <c r="C187" s="42">
        <f t="shared" si="12"/>
        <v>-1.1930395407002203E-2</v>
      </c>
      <c r="D187" s="26"/>
      <c r="E187" s="41">
        <v>3053.87</v>
      </c>
      <c r="F187" s="28">
        <f t="shared" si="13"/>
        <v>4.3942410744425139E-3</v>
      </c>
      <c r="G187" s="26"/>
      <c r="H187" s="41">
        <v>1924</v>
      </c>
      <c r="I187" s="28">
        <f t="shared" si="14"/>
        <v>-5.7009742382303765E-3</v>
      </c>
      <c r="J187" s="26"/>
      <c r="K187" s="41">
        <v>1434.97</v>
      </c>
      <c r="L187" s="28">
        <f t="shared" si="15"/>
        <v>-2.4784902264097877E-2</v>
      </c>
      <c r="M187" s="26"/>
      <c r="N187" s="23">
        <v>1494</v>
      </c>
      <c r="O187" s="28">
        <f t="shared" si="16"/>
        <v>1.6984113081882728E-2</v>
      </c>
      <c r="P187" s="26"/>
      <c r="Q187" s="23"/>
      <c r="R187" s="28" t="str">
        <f t="shared" si="17"/>
        <v/>
      </c>
      <c r="S187" s="27"/>
    </row>
    <row r="188" spans="1:19" x14ac:dyDescent="0.3">
      <c r="A188" s="24"/>
      <c r="B188">
        <v>65.77</v>
      </c>
      <c r="C188" s="42">
        <f t="shared" si="12"/>
        <v>-3.4909347131659458E-3</v>
      </c>
      <c r="D188" s="26"/>
      <c r="E188" s="41">
        <v>3040.48</v>
      </c>
      <c r="F188" s="28">
        <f t="shared" si="13"/>
        <v>9.2133152074504957E-4</v>
      </c>
      <c r="G188" s="26"/>
      <c r="H188" s="41">
        <v>1935</v>
      </c>
      <c r="I188" s="28">
        <f t="shared" si="14"/>
        <v>6.8294693772725859E-3</v>
      </c>
      <c r="J188" s="26"/>
      <c r="K188" s="41">
        <v>1470.98</v>
      </c>
      <c r="L188" s="28">
        <f t="shared" si="15"/>
        <v>-1.5962996416932791E-3</v>
      </c>
      <c r="M188" s="26"/>
      <c r="N188" s="23">
        <v>1468.84</v>
      </c>
      <c r="O188" s="28">
        <f t="shared" si="16"/>
        <v>3.0137139874246975E-3</v>
      </c>
      <c r="P188" s="26"/>
      <c r="Q188" s="23"/>
      <c r="R188" s="28" t="str">
        <f t="shared" si="17"/>
        <v/>
      </c>
      <c r="S188" s="27"/>
    </row>
    <row r="189" spans="1:19" x14ac:dyDescent="0.3">
      <c r="A189" s="24"/>
      <c r="B189">
        <v>66</v>
      </c>
      <c r="C189" s="42">
        <f t="shared" si="12"/>
        <v>-1.1898626711119156E-2</v>
      </c>
      <c r="D189" s="26"/>
      <c r="E189" s="41">
        <v>3037.68</v>
      </c>
      <c r="F189" s="28">
        <f t="shared" si="13"/>
        <v>-3.368605511249304E-3</v>
      </c>
      <c r="G189" s="26"/>
      <c r="H189" s="41">
        <v>1921.83</v>
      </c>
      <c r="I189" s="28">
        <f t="shared" si="14"/>
        <v>-1.4761749780658256E-2</v>
      </c>
      <c r="J189" s="26"/>
      <c r="K189" s="41">
        <v>1473.33</v>
      </c>
      <c r="L189" s="28">
        <f t="shared" si="15"/>
        <v>-4.6723361317612278E-3</v>
      </c>
      <c r="M189" s="26"/>
      <c r="N189" s="23">
        <v>1464.42</v>
      </c>
      <c r="O189" s="28">
        <f t="shared" si="16"/>
        <v>-1.067066211502647E-2</v>
      </c>
      <c r="P189" s="26"/>
      <c r="Q189" s="23"/>
      <c r="R189" s="28" t="str">
        <f t="shared" si="17"/>
        <v/>
      </c>
      <c r="S189" s="27"/>
    </row>
    <row r="190" spans="1:19" x14ac:dyDescent="0.3">
      <c r="A190" s="24"/>
      <c r="B190">
        <v>66.790000000000006</v>
      </c>
      <c r="C190" s="42">
        <f t="shared" si="12"/>
        <v>2.5782441153248629E-2</v>
      </c>
      <c r="D190" s="26"/>
      <c r="E190" s="41">
        <v>3047.93</v>
      </c>
      <c r="F190" s="28">
        <f t="shared" si="13"/>
        <v>1.5947054352495112E-2</v>
      </c>
      <c r="G190" s="26"/>
      <c r="H190" s="41">
        <v>1950.41</v>
      </c>
      <c r="I190" s="28">
        <f t="shared" si="14"/>
        <v>5.4856634100162623E-3</v>
      </c>
      <c r="J190" s="26"/>
      <c r="K190" s="41">
        <v>1480.23</v>
      </c>
      <c r="L190" s="28">
        <f t="shared" si="15"/>
        <v>-2.5196197866178143E-2</v>
      </c>
      <c r="M190" s="26"/>
      <c r="N190" s="23">
        <v>1480.13</v>
      </c>
      <c r="O190" s="28">
        <f t="shared" si="16"/>
        <v>-1.0812005807381517E-2</v>
      </c>
      <c r="P190" s="26"/>
      <c r="Q190" s="23"/>
      <c r="R190" s="28" t="str">
        <f t="shared" si="17"/>
        <v/>
      </c>
      <c r="S190" s="27"/>
    </row>
    <row r="191" spans="1:19" x14ac:dyDescent="0.3">
      <c r="A191" s="24"/>
      <c r="B191">
        <v>65.09</v>
      </c>
      <c r="C191" s="42">
        <f t="shared" si="12"/>
        <v>-2.0377834092853861E-2</v>
      </c>
      <c r="D191" s="26"/>
      <c r="E191" s="41">
        <v>2999.71</v>
      </c>
      <c r="F191" s="28">
        <f t="shared" si="13"/>
        <v>-4.4239617649482511E-3</v>
      </c>
      <c r="G191" s="26"/>
      <c r="H191" s="41">
        <v>1939.74</v>
      </c>
      <c r="I191" s="28">
        <f t="shared" si="14"/>
        <v>-1.429107600184666E-2</v>
      </c>
      <c r="J191" s="26"/>
      <c r="K191" s="41">
        <v>1518</v>
      </c>
      <c r="L191" s="28">
        <f t="shared" si="15"/>
        <v>2.7574213828708248E-3</v>
      </c>
      <c r="M191" s="26"/>
      <c r="N191" s="23">
        <v>1496.22</v>
      </c>
      <c r="O191" s="28">
        <f t="shared" si="16"/>
        <v>-9.114741727159769E-3</v>
      </c>
      <c r="P191" s="26"/>
      <c r="Q191" s="23"/>
      <c r="R191" s="28" t="str">
        <f t="shared" si="17"/>
        <v/>
      </c>
      <c r="S191" s="27"/>
    </row>
    <row r="192" spans="1:19" x14ac:dyDescent="0.3">
      <c r="A192" s="24"/>
      <c r="B192">
        <v>66.430000000000007</v>
      </c>
      <c r="C192" s="42">
        <f t="shared" si="12"/>
        <v>1.8080462963737183E-3</v>
      </c>
      <c r="D192" s="26"/>
      <c r="E192" s="41">
        <v>3013.01</v>
      </c>
      <c r="F192" s="28">
        <f t="shared" si="13"/>
        <v>7.0309420000731144E-3</v>
      </c>
      <c r="G192" s="26"/>
      <c r="H192" s="41">
        <v>1967.66</v>
      </c>
      <c r="I192" s="28">
        <f t="shared" si="14"/>
        <v>-3.2013095475907437E-2</v>
      </c>
      <c r="J192" s="26"/>
      <c r="K192" s="41">
        <v>1513.82</v>
      </c>
      <c r="L192" s="28">
        <f t="shared" si="15"/>
        <v>5.6839036649298626E-3</v>
      </c>
      <c r="M192" s="26"/>
      <c r="N192" s="23">
        <v>1509.92</v>
      </c>
      <c r="O192" s="28">
        <f t="shared" si="16"/>
        <v>-1.9589374199922221E-2</v>
      </c>
      <c r="P192" s="26"/>
      <c r="Q192" s="23"/>
      <c r="R192" s="28" t="str">
        <f t="shared" si="17"/>
        <v/>
      </c>
      <c r="S192" s="27"/>
    </row>
    <row r="193" spans="1:19" x14ac:dyDescent="0.3">
      <c r="A193" s="24"/>
      <c r="B193">
        <v>66.31</v>
      </c>
      <c r="C193" s="42">
        <f t="shared" si="12"/>
        <v>3.625929338981964E-3</v>
      </c>
      <c r="D193" s="26"/>
      <c r="E193" s="41">
        <v>2991.9</v>
      </c>
      <c r="F193" s="28">
        <f t="shared" si="13"/>
        <v>-4.9744047949901067E-3</v>
      </c>
      <c r="G193" s="26"/>
      <c r="H193" s="41">
        <v>2031.67</v>
      </c>
      <c r="I193" s="28">
        <f t="shared" si="14"/>
        <v>5.2656765313847014E-3</v>
      </c>
      <c r="J193" s="26"/>
      <c r="K193" s="41">
        <v>1505.24</v>
      </c>
      <c r="L193" s="28">
        <f t="shared" si="15"/>
        <v>-5.8028010896196622E-3</v>
      </c>
      <c r="M193" s="26"/>
      <c r="N193" s="23">
        <v>1539.79</v>
      </c>
      <c r="O193" s="28">
        <f t="shared" si="16"/>
        <v>-1.1249715025422742E-2</v>
      </c>
      <c r="P193" s="26"/>
      <c r="Q193" s="23"/>
      <c r="R193" s="28" t="str">
        <f t="shared" si="17"/>
        <v/>
      </c>
      <c r="S193" s="27"/>
    </row>
    <row r="194" spans="1:19" x14ac:dyDescent="0.3">
      <c r="A194" s="24"/>
      <c r="B194">
        <v>66.069999999999993</v>
      </c>
      <c r="C194" s="42">
        <f t="shared" si="12"/>
        <v>-1.397783334917186E-2</v>
      </c>
      <c r="D194" s="26"/>
      <c r="E194" s="41">
        <v>3006.82</v>
      </c>
      <c r="F194" s="28">
        <f t="shared" si="13"/>
        <v>9.7755102620629506E-3</v>
      </c>
      <c r="G194" s="26"/>
      <c r="H194" s="41">
        <v>2021</v>
      </c>
      <c r="I194" s="28">
        <f t="shared" si="14"/>
        <v>9.7205205470816455E-3</v>
      </c>
      <c r="J194" s="26"/>
      <c r="K194" s="41">
        <v>1514</v>
      </c>
      <c r="L194" s="28">
        <f t="shared" si="15"/>
        <v>-1.2541669685786007E-3</v>
      </c>
      <c r="M194" s="26"/>
      <c r="N194" s="23">
        <v>1557.21</v>
      </c>
      <c r="O194" s="28">
        <f t="shared" si="16"/>
        <v>1.0438245344465321E-2</v>
      </c>
      <c r="P194" s="26"/>
      <c r="Q194" s="23"/>
      <c r="R194" s="28" t="str">
        <f t="shared" si="17"/>
        <v/>
      </c>
      <c r="S194" s="27"/>
    </row>
    <row r="195" spans="1:19" x14ac:dyDescent="0.3">
      <c r="A195" s="24"/>
      <c r="B195">
        <v>67</v>
      </c>
      <c r="C195" s="42">
        <f t="shared" si="12"/>
        <v>-2.9846291819818935E-4</v>
      </c>
      <c r="D195" s="26"/>
      <c r="E195" s="41">
        <v>2977.57</v>
      </c>
      <c r="F195" s="28">
        <f t="shared" si="13"/>
        <v>2.7341487788646265E-3</v>
      </c>
      <c r="G195" s="26"/>
      <c r="H195" s="41">
        <v>2001.45</v>
      </c>
      <c r="I195" s="28">
        <f t="shared" si="14"/>
        <v>2.9171388713707543E-3</v>
      </c>
      <c r="J195" s="26"/>
      <c r="K195" s="41">
        <v>1515.9</v>
      </c>
      <c r="L195" s="28">
        <f t="shared" si="15"/>
        <v>-9.2649493468617491E-3</v>
      </c>
      <c r="M195" s="26"/>
      <c r="N195" s="23">
        <v>1541.04</v>
      </c>
      <c r="O195" s="28">
        <f t="shared" si="16"/>
        <v>-1.9407603370715613E-2</v>
      </c>
      <c r="P195" s="26"/>
      <c r="Q195" s="23"/>
      <c r="R195" s="28" t="str">
        <f t="shared" si="17"/>
        <v/>
      </c>
      <c r="S195" s="27"/>
    </row>
    <row r="196" spans="1:19" x14ac:dyDescent="0.3">
      <c r="A196" s="24"/>
      <c r="B196">
        <v>67.02</v>
      </c>
      <c r="C196" s="42">
        <f t="shared" si="12"/>
        <v>1.045010171982807E-3</v>
      </c>
      <c r="D196" s="26"/>
      <c r="E196" s="41">
        <v>2969.44</v>
      </c>
      <c r="F196" s="28">
        <f t="shared" si="13"/>
        <v>-1.0918674725009552E-2</v>
      </c>
      <c r="G196" s="26"/>
      <c r="H196" s="41">
        <v>1995.62</v>
      </c>
      <c r="I196" s="28">
        <f t="shared" si="14"/>
        <v>1.1683423978734283E-2</v>
      </c>
      <c r="J196" s="26"/>
      <c r="K196" s="41">
        <v>1530.01</v>
      </c>
      <c r="L196" s="28">
        <f t="shared" si="15"/>
        <v>-7.1572850072813684E-3</v>
      </c>
      <c r="M196" s="26"/>
      <c r="N196" s="23">
        <v>1571.24</v>
      </c>
      <c r="O196" s="28">
        <f t="shared" si="16"/>
        <v>-4.6669270026459663E-3</v>
      </c>
      <c r="P196" s="26"/>
      <c r="Q196" s="23"/>
      <c r="R196" s="28" t="str">
        <f t="shared" si="17"/>
        <v/>
      </c>
      <c r="S196" s="27"/>
    </row>
    <row r="197" spans="1:19" x14ac:dyDescent="0.3">
      <c r="A197" s="24"/>
      <c r="B197">
        <v>66.95</v>
      </c>
      <c r="C197" s="42">
        <f t="shared" ref="C197:C254" si="18">LN(B197/B198)</f>
        <v>0</v>
      </c>
      <c r="D197" s="26"/>
      <c r="E197" s="41">
        <v>3002.04</v>
      </c>
      <c r="F197" s="28">
        <f t="shared" ref="F197:F253" si="19">LN(E197/E198)</f>
        <v>2.1842333774413814E-3</v>
      </c>
      <c r="G197" s="26"/>
      <c r="H197" s="41">
        <v>1972.44</v>
      </c>
      <c r="I197" s="28">
        <f t="shared" ref="I197:I254" si="20">LN(H197/H198)</f>
        <v>1.8451104438769957E-2</v>
      </c>
      <c r="J197" s="26"/>
      <c r="K197" s="41">
        <v>1541</v>
      </c>
      <c r="L197" s="28">
        <f t="shared" ref="L197:L254" si="21">LN(K197/K198)</f>
        <v>6.491399124408249E-4</v>
      </c>
      <c r="M197" s="26"/>
      <c r="N197" s="23">
        <v>1578.59</v>
      </c>
      <c r="O197" s="28">
        <f t="shared" ref="O197:O253" si="22">LN(N197/N198)</f>
        <v>-6.8054463470900078E-2</v>
      </c>
      <c r="P197" s="26"/>
      <c r="Q197" s="23"/>
      <c r="R197" s="28" t="str">
        <f t="shared" ref="R197:R254" si="23">IF(Q197="","",(LN(Q197/Q198)))</f>
        <v/>
      </c>
      <c r="S197" s="27"/>
    </row>
    <row r="198" spans="1:19" x14ac:dyDescent="0.3">
      <c r="A198" s="24"/>
      <c r="B198">
        <v>66.95</v>
      </c>
      <c r="C198" s="42">
        <f t="shared" si="18"/>
        <v>-8.4777781505200565E-3</v>
      </c>
      <c r="D198" s="26"/>
      <c r="E198" s="41">
        <v>2995.49</v>
      </c>
      <c r="F198" s="28">
        <f t="shared" si="19"/>
        <v>5.067080910354768E-3</v>
      </c>
      <c r="G198" s="26"/>
      <c r="H198" s="41">
        <v>1936.38</v>
      </c>
      <c r="I198" s="28">
        <f t="shared" si="20"/>
        <v>-1.1613888376876448E-2</v>
      </c>
      <c r="J198" s="26"/>
      <c r="K198" s="41">
        <v>1540</v>
      </c>
      <c r="L198" s="28">
        <f t="shared" si="21"/>
        <v>1.9474109835378929E-2</v>
      </c>
      <c r="M198" s="26"/>
      <c r="N198" s="23">
        <v>1689.76</v>
      </c>
      <c r="O198" s="28">
        <f t="shared" si="22"/>
        <v>1.0177311918683776E-2</v>
      </c>
      <c r="P198" s="26"/>
      <c r="Q198" s="23"/>
      <c r="R198" s="28" t="str">
        <f t="shared" si="23"/>
        <v/>
      </c>
      <c r="S198" s="27"/>
    </row>
    <row r="199" spans="1:19" x14ac:dyDescent="0.3">
      <c r="A199" s="24"/>
      <c r="B199">
        <v>67.52</v>
      </c>
      <c r="C199" s="42">
        <f t="shared" si="18"/>
        <v>-3.843315891203636E-3</v>
      </c>
      <c r="D199" s="26"/>
      <c r="E199" s="41">
        <v>2980.35</v>
      </c>
      <c r="F199" s="28">
        <f t="shared" si="19"/>
        <v>3.4518548062947478E-3</v>
      </c>
      <c r="G199" s="26"/>
      <c r="H199" s="41">
        <v>1959</v>
      </c>
      <c r="I199" s="28">
        <f t="shared" si="20"/>
        <v>1.034944060427714E-2</v>
      </c>
      <c r="J199" s="26"/>
      <c r="K199" s="41">
        <v>1510.3</v>
      </c>
      <c r="L199" s="28">
        <f t="shared" si="21"/>
        <v>-6.4020282680262025E-3</v>
      </c>
      <c r="M199" s="26"/>
      <c r="N199" s="23">
        <v>1672.65</v>
      </c>
      <c r="O199" s="28">
        <f t="shared" si="22"/>
        <v>1.5496411703675855E-3</v>
      </c>
      <c r="P199" s="26"/>
      <c r="Q199" s="23"/>
      <c r="R199" s="28" t="str">
        <f t="shared" si="23"/>
        <v/>
      </c>
      <c r="S199" s="27"/>
    </row>
    <row r="200" spans="1:19" x14ac:dyDescent="0.3">
      <c r="A200" s="24"/>
      <c r="B200">
        <v>67.78</v>
      </c>
      <c r="C200" s="42">
        <f t="shared" si="18"/>
        <v>3.4217023537699065E-2</v>
      </c>
      <c r="D200" s="26"/>
      <c r="E200" s="41">
        <v>2970.08</v>
      </c>
      <c r="F200" s="28">
        <f t="shared" si="19"/>
        <v>4.9345813770621909E-3</v>
      </c>
      <c r="G200" s="26"/>
      <c r="H200" s="41">
        <v>1938.83</v>
      </c>
      <c r="I200" s="28">
        <f t="shared" si="20"/>
        <v>1.4955278631755012E-2</v>
      </c>
      <c r="J200" s="26"/>
      <c r="K200" s="41">
        <v>1520</v>
      </c>
      <c r="L200" s="28">
        <f t="shared" si="21"/>
        <v>-6.9821469299483161E-3</v>
      </c>
      <c r="M200" s="26"/>
      <c r="N200" s="23">
        <v>1670.06</v>
      </c>
      <c r="O200" s="28">
        <f t="shared" si="22"/>
        <v>3.0284245065989239E-3</v>
      </c>
      <c r="P200" s="26"/>
      <c r="Q200" s="23"/>
      <c r="R200" s="28" t="str">
        <f t="shared" si="23"/>
        <v/>
      </c>
      <c r="S200" s="27"/>
    </row>
    <row r="201" spans="1:19" x14ac:dyDescent="0.3">
      <c r="A201" s="24"/>
      <c r="B201">
        <v>65.5</v>
      </c>
      <c r="C201" s="42">
        <f t="shared" si="18"/>
        <v>-1.4249142103887901E-2</v>
      </c>
      <c r="D201" s="26"/>
      <c r="E201" s="41">
        <v>2955.46</v>
      </c>
      <c r="F201" s="28">
        <f t="shared" si="19"/>
        <v>1.0537620000014063E-2</v>
      </c>
      <c r="G201" s="26"/>
      <c r="H201" s="41">
        <v>1910.05</v>
      </c>
      <c r="I201" s="28">
        <f t="shared" si="20"/>
        <v>1.9876345361055155E-2</v>
      </c>
      <c r="J201" s="26"/>
      <c r="K201" s="41">
        <v>1530.65</v>
      </c>
      <c r="L201" s="28">
        <f t="shared" si="21"/>
        <v>-1.44960623784167E-2</v>
      </c>
      <c r="M201" s="26"/>
      <c r="N201" s="23">
        <v>1665.01</v>
      </c>
      <c r="O201" s="28">
        <f t="shared" si="22"/>
        <v>-4.5481725449111237E-3</v>
      </c>
      <c r="P201" s="26"/>
      <c r="Q201" s="23"/>
      <c r="R201" s="28" t="str">
        <f t="shared" si="23"/>
        <v/>
      </c>
      <c r="S201" s="27"/>
    </row>
    <row r="202" spans="1:19" x14ac:dyDescent="0.3">
      <c r="A202" s="24"/>
      <c r="B202">
        <v>66.44</v>
      </c>
      <c r="C202" s="42">
        <f t="shared" si="18"/>
        <v>-1.3009529277527715E-2</v>
      </c>
      <c r="D202" s="26"/>
      <c r="E202" s="41">
        <v>2924.48</v>
      </c>
      <c r="F202" s="28">
        <f t="shared" si="19"/>
        <v>-1.6209283541253863E-2</v>
      </c>
      <c r="G202" s="26"/>
      <c r="H202" s="41">
        <v>1872.46</v>
      </c>
      <c r="I202" s="28">
        <f t="shared" si="20"/>
        <v>1.4773796872825845E-2</v>
      </c>
      <c r="J202" s="26"/>
      <c r="K202" s="41">
        <v>1553</v>
      </c>
      <c r="L202" s="28">
        <f t="shared" si="21"/>
        <v>5.1516889168080242E-3</v>
      </c>
      <c r="M202" s="26"/>
      <c r="N202" s="23">
        <v>1672.6</v>
      </c>
      <c r="O202" s="28">
        <f t="shared" si="22"/>
        <v>-1.4482684286801021E-2</v>
      </c>
      <c r="P202" s="26"/>
      <c r="Q202" s="23"/>
      <c r="R202" s="28" t="str">
        <f t="shared" si="23"/>
        <v/>
      </c>
      <c r="S202" s="27"/>
    </row>
    <row r="203" spans="1:19" x14ac:dyDescent="0.3">
      <c r="A203" s="24"/>
      <c r="B203">
        <v>67.31</v>
      </c>
      <c r="C203" s="42">
        <f t="shared" si="18"/>
        <v>-1.0394239557849632E-3</v>
      </c>
      <c r="D203" s="26"/>
      <c r="E203" s="41">
        <v>2972.27</v>
      </c>
      <c r="F203" s="28">
        <f t="shared" si="19"/>
        <v>8.5145142003720201E-3</v>
      </c>
      <c r="G203" s="26"/>
      <c r="H203" s="41">
        <v>1845</v>
      </c>
      <c r="I203" s="28">
        <f t="shared" si="20"/>
        <v>-1.6369353134490783E-2</v>
      </c>
      <c r="J203" s="26"/>
      <c r="K203" s="41">
        <v>1545.02</v>
      </c>
      <c r="L203" s="28">
        <f t="shared" si="21"/>
        <v>6.5064742105814012E-3</v>
      </c>
      <c r="M203" s="26"/>
      <c r="N203" s="23">
        <v>1697</v>
      </c>
      <c r="O203" s="28">
        <f t="shared" si="22"/>
        <v>7.6900704319543597E-3</v>
      </c>
      <c r="P203" s="26"/>
      <c r="Q203" s="23"/>
      <c r="R203" s="28" t="str">
        <f t="shared" si="23"/>
        <v/>
      </c>
      <c r="S203" s="27"/>
    </row>
    <row r="204" spans="1:19" x14ac:dyDescent="0.3">
      <c r="A204" s="24"/>
      <c r="B204">
        <v>67.38</v>
      </c>
      <c r="C204" s="42">
        <f t="shared" si="18"/>
        <v>3.5682464265178763E-3</v>
      </c>
      <c r="D204" s="26"/>
      <c r="E204" s="41">
        <v>2947.07</v>
      </c>
      <c r="F204" s="28">
        <f t="shared" si="19"/>
        <v>-1.8374256808597193E-3</v>
      </c>
      <c r="G204" s="26"/>
      <c r="H204" s="41">
        <v>1875.45</v>
      </c>
      <c r="I204" s="28">
        <f t="shared" si="20"/>
        <v>-8.7858400027051881E-3</v>
      </c>
      <c r="J204" s="26"/>
      <c r="K204" s="41">
        <v>1535</v>
      </c>
      <c r="L204" s="28">
        <f t="shared" si="21"/>
        <v>-4.9518885183716709E-3</v>
      </c>
      <c r="M204" s="26"/>
      <c r="N204" s="23">
        <v>1684</v>
      </c>
      <c r="O204" s="28">
        <f t="shared" si="22"/>
        <v>-1.2094029935360611E-2</v>
      </c>
      <c r="P204" s="26"/>
      <c r="Q204" s="23"/>
      <c r="R204" s="28" t="str">
        <f t="shared" si="23"/>
        <v/>
      </c>
      <c r="S204" s="27"/>
    </row>
    <row r="205" spans="1:19" x14ac:dyDescent="0.3">
      <c r="A205" s="24"/>
      <c r="B205">
        <v>67.14</v>
      </c>
      <c r="C205" s="42">
        <f t="shared" si="18"/>
        <v>6.575038630310893E-3</v>
      </c>
      <c r="D205" s="26"/>
      <c r="E205" s="41">
        <v>2952.49</v>
      </c>
      <c r="F205" s="28">
        <f t="shared" si="19"/>
        <v>2.0755904391987282E-2</v>
      </c>
      <c r="G205" s="26"/>
      <c r="H205" s="41">
        <v>1892</v>
      </c>
      <c r="I205" s="28">
        <f t="shared" si="20"/>
        <v>1.0576415581354454E-3</v>
      </c>
      <c r="J205" s="26"/>
      <c r="K205" s="41">
        <v>1542.62</v>
      </c>
      <c r="L205" s="28">
        <f t="shared" si="21"/>
        <v>2.4078959429482461E-3</v>
      </c>
      <c r="M205" s="26"/>
      <c r="N205" s="23">
        <v>1704.49</v>
      </c>
      <c r="O205" s="28">
        <f t="shared" si="22"/>
        <v>2.2066391910071901E-2</v>
      </c>
      <c r="P205" s="26"/>
      <c r="Q205" s="23"/>
      <c r="R205" s="28" t="str">
        <f t="shared" si="23"/>
        <v/>
      </c>
      <c r="S205" s="27"/>
    </row>
    <row r="206" spans="1:19" x14ac:dyDescent="0.3">
      <c r="A206" s="24"/>
      <c r="B206">
        <v>66.7</v>
      </c>
      <c r="C206" s="42">
        <f t="shared" si="18"/>
        <v>-5.9790910560579592E-3</v>
      </c>
      <c r="D206" s="26"/>
      <c r="E206" s="41">
        <v>2891.84</v>
      </c>
      <c r="F206" s="28">
        <f t="shared" si="19"/>
        <v>-1.8779347803990112E-2</v>
      </c>
      <c r="G206" s="26"/>
      <c r="H206" s="41">
        <v>1890</v>
      </c>
      <c r="I206" s="28">
        <f t="shared" si="20"/>
        <v>1.9895012515943659E-2</v>
      </c>
      <c r="J206" s="26"/>
      <c r="K206" s="41">
        <v>1538.91</v>
      </c>
      <c r="L206" s="28">
        <f t="shared" si="21"/>
        <v>-1.5116724405540577E-2</v>
      </c>
      <c r="M206" s="26"/>
      <c r="N206" s="23">
        <v>1667.29</v>
      </c>
      <c r="O206" s="28">
        <f t="shared" si="22"/>
        <v>-3.8378278365776926E-4</v>
      </c>
      <c r="P206" s="26"/>
      <c r="Q206" s="23"/>
      <c r="R206" s="28" t="str">
        <f t="shared" si="23"/>
        <v/>
      </c>
      <c r="S206" s="27"/>
    </row>
    <row r="207" spans="1:19" x14ac:dyDescent="0.3">
      <c r="A207" s="24"/>
      <c r="B207">
        <v>67.099999999999994</v>
      </c>
      <c r="C207" s="42">
        <f t="shared" si="18"/>
        <v>6.4289673476672846E-3</v>
      </c>
      <c r="D207" s="26"/>
      <c r="E207" s="41">
        <v>2946.66</v>
      </c>
      <c r="F207" s="28">
        <f t="shared" si="19"/>
        <v>-1.5410099056782998E-2</v>
      </c>
      <c r="G207" s="26"/>
      <c r="H207" s="41">
        <v>1852.77</v>
      </c>
      <c r="I207" s="28">
        <f t="shared" si="20"/>
        <v>-3.8946711695025059E-3</v>
      </c>
      <c r="J207" s="26"/>
      <c r="K207" s="41">
        <v>1562.35</v>
      </c>
      <c r="L207" s="28">
        <f t="shared" si="21"/>
        <v>-2.3334995484868707E-3</v>
      </c>
      <c r="M207" s="26"/>
      <c r="N207" s="23">
        <v>1667.93</v>
      </c>
      <c r="O207" s="28">
        <f t="shared" si="22"/>
        <v>1.141429305161957E-2</v>
      </c>
      <c r="P207" s="26"/>
      <c r="Q207" s="23"/>
      <c r="R207" s="28" t="str">
        <f t="shared" si="23"/>
        <v/>
      </c>
      <c r="S207" s="27"/>
    </row>
    <row r="208" spans="1:19" x14ac:dyDescent="0.3">
      <c r="A208" s="24"/>
      <c r="B208">
        <v>66.67</v>
      </c>
      <c r="C208" s="42">
        <f t="shared" si="18"/>
        <v>-1.7982921075759865E-3</v>
      </c>
      <c r="D208" s="26"/>
      <c r="E208" s="41">
        <v>2992.42</v>
      </c>
      <c r="F208" s="28">
        <f t="shared" si="19"/>
        <v>1.7931380060761015E-2</v>
      </c>
      <c r="G208" s="26"/>
      <c r="H208" s="41">
        <v>1860</v>
      </c>
      <c r="I208" s="28">
        <f t="shared" si="20"/>
        <v>8.0863701829719161E-3</v>
      </c>
      <c r="J208" s="26"/>
      <c r="K208" s="41">
        <v>1566</v>
      </c>
      <c r="L208" s="28">
        <f t="shared" si="21"/>
        <v>-1.0708739747735585E-2</v>
      </c>
      <c r="M208" s="26"/>
      <c r="N208" s="23">
        <v>1649</v>
      </c>
      <c r="O208" s="28">
        <f t="shared" si="22"/>
        <v>-1.2223352160060267E-2</v>
      </c>
      <c r="P208" s="26"/>
      <c r="Q208" s="23"/>
      <c r="R208" s="28" t="str">
        <f t="shared" si="23"/>
        <v/>
      </c>
      <c r="S208" s="27"/>
    </row>
    <row r="209" spans="1:19" x14ac:dyDescent="0.3">
      <c r="A209" s="24"/>
      <c r="B209">
        <v>66.790000000000006</v>
      </c>
      <c r="C209" s="42">
        <f t="shared" si="18"/>
        <v>-4.4906819106564855E-4</v>
      </c>
      <c r="D209" s="26"/>
      <c r="E209" s="41">
        <v>2939.24</v>
      </c>
      <c r="F209" s="28">
        <f t="shared" si="19"/>
        <v>-2.6298726384566457E-3</v>
      </c>
      <c r="G209" s="26"/>
      <c r="H209" s="41">
        <v>1845.02</v>
      </c>
      <c r="I209" s="28">
        <f t="shared" si="20"/>
        <v>-3.1204179298276985E-2</v>
      </c>
      <c r="J209" s="26"/>
      <c r="K209" s="41">
        <v>1582.86</v>
      </c>
      <c r="L209" s="28">
        <f t="shared" si="21"/>
        <v>-1.5757833440427704E-2</v>
      </c>
      <c r="M209" s="26"/>
      <c r="N209" s="23">
        <v>1669.28</v>
      </c>
      <c r="O209" s="28">
        <f t="shared" si="22"/>
        <v>-1.9699489571633085E-2</v>
      </c>
      <c r="P209" s="26"/>
      <c r="Q209" s="23"/>
      <c r="R209" s="28" t="str">
        <f t="shared" si="23"/>
        <v/>
      </c>
      <c r="S209" s="27"/>
    </row>
    <row r="210" spans="1:19" x14ac:dyDescent="0.3">
      <c r="A210" s="24"/>
      <c r="B210">
        <v>66.819999999999993</v>
      </c>
      <c r="C210" s="42">
        <f t="shared" si="18"/>
        <v>-5.9683853683492579E-3</v>
      </c>
      <c r="D210" s="26"/>
      <c r="E210" s="41">
        <v>2946.98</v>
      </c>
      <c r="F210" s="28">
        <f t="shared" si="19"/>
        <v>-2.3104112800243957E-2</v>
      </c>
      <c r="G210" s="26"/>
      <c r="H210" s="41">
        <v>1903.5</v>
      </c>
      <c r="I210" s="28">
        <f t="shared" si="20"/>
        <v>6.0492554420748393E-3</v>
      </c>
      <c r="J210" s="26"/>
      <c r="K210" s="41">
        <v>1608</v>
      </c>
      <c r="L210" s="28">
        <f t="shared" si="21"/>
        <v>1.0000083334583399E-2</v>
      </c>
      <c r="M210" s="26"/>
      <c r="N210" s="23">
        <v>1702.49</v>
      </c>
      <c r="O210" s="28">
        <f t="shared" si="22"/>
        <v>-1.8915528089667292E-2</v>
      </c>
      <c r="P210" s="26"/>
      <c r="Q210" s="23"/>
      <c r="R210" s="28" t="str">
        <f t="shared" si="23"/>
        <v/>
      </c>
      <c r="S210" s="27"/>
    </row>
    <row r="211" spans="1:19" x14ac:dyDescent="0.3">
      <c r="A211" s="24"/>
      <c r="B211">
        <v>67.22</v>
      </c>
      <c r="C211" s="42">
        <f t="shared" si="18"/>
        <v>-4.6011212897910086E-3</v>
      </c>
      <c r="D211" s="26"/>
      <c r="E211" s="41">
        <v>3015.86</v>
      </c>
      <c r="F211" s="28">
        <f t="shared" si="19"/>
        <v>-6.7875731903093576E-3</v>
      </c>
      <c r="G211" s="26"/>
      <c r="H211" s="41">
        <v>1892.02</v>
      </c>
      <c r="I211" s="28">
        <f t="shared" si="20"/>
        <v>-3.6823904318088103E-3</v>
      </c>
      <c r="J211" s="26"/>
      <c r="K211" s="41">
        <v>1592</v>
      </c>
      <c r="L211" s="28">
        <f t="shared" si="21"/>
        <v>-2.5094116054258072E-3</v>
      </c>
      <c r="M211" s="26"/>
      <c r="N211" s="23">
        <v>1735</v>
      </c>
      <c r="O211" s="28">
        <f t="shared" si="22"/>
        <v>-1.8898110303084088E-2</v>
      </c>
      <c r="P211" s="26"/>
      <c r="Q211" s="23"/>
      <c r="R211" s="28" t="str">
        <f t="shared" si="23"/>
        <v/>
      </c>
      <c r="S211" s="27"/>
    </row>
    <row r="212" spans="1:19" x14ac:dyDescent="0.3">
      <c r="A212" s="24"/>
      <c r="B212">
        <v>67.53</v>
      </c>
      <c r="C212" s="42">
        <f t="shared" si="18"/>
        <v>-1.0605490478318555E-2</v>
      </c>
      <c r="D212" s="26"/>
      <c r="E212" s="41">
        <v>3036.4</v>
      </c>
      <c r="F212" s="28">
        <f t="shared" si="19"/>
        <v>1.4426444905746027E-2</v>
      </c>
      <c r="G212" s="26"/>
      <c r="H212" s="41">
        <v>1899</v>
      </c>
      <c r="I212" s="28">
        <f t="shared" si="20"/>
        <v>-3.2805530651345768E-3</v>
      </c>
      <c r="J212" s="26"/>
      <c r="K212" s="41">
        <v>1596</v>
      </c>
      <c r="L212" s="28">
        <f t="shared" si="21"/>
        <v>-1.5542743725922062E-2</v>
      </c>
      <c r="M212" s="26"/>
      <c r="N212" s="23">
        <v>1768.1</v>
      </c>
      <c r="O212" s="28">
        <f t="shared" si="22"/>
        <v>-1.0632712475384375E-2</v>
      </c>
      <c r="P212" s="26"/>
      <c r="Q212" s="23"/>
      <c r="R212" s="28" t="str">
        <f t="shared" si="23"/>
        <v/>
      </c>
      <c r="S212" s="27"/>
    </row>
    <row r="213" spans="1:19" x14ac:dyDescent="0.3">
      <c r="A213" s="24"/>
      <c r="B213">
        <v>68.25</v>
      </c>
      <c r="C213" s="42">
        <f t="shared" si="18"/>
        <v>8.0912541468398172E-3</v>
      </c>
      <c r="D213" s="26"/>
      <c r="E213" s="41">
        <v>2992.91</v>
      </c>
      <c r="F213" s="28">
        <f t="shared" si="19"/>
        <v>1.1797028618710705E-2</v>
      </c>
      <c r="G213" s="26"/>
      <c r="H213" s="41">
        <v>1905.24</v>
      </c>
      <c r="I213" s="28">
        <f t="shared" si="20"/>
        <v>5.3891463608937012E-3</v>
      </c>
      <c r="J213" s="26"/>
      <c r="K213" s="41">
        <v>1621</v>
      </c>
      <c r="L213" s="28">
        <f t="shared" si="21"/>
        <v>-1.1659096624953513E-2</v>
      </c>
      <c r="M213" s="26"/>
      <c r="N213" s="23">
        <v>1787</v>
      </c>
      <c r="O213" s="28">
        <f t="shared" si="22"/>
        <v>1.1198209456885855E-3</v>
      </c>
      <c r="P213" s="26"/>
      <c r="Q213" s="23"/>
      <c r="R213" s="28" t="str">
        <f t="shared" si="23"/>
        <v/>
      </c>
      <c r="S213" s="27"/>
    </row>
    <row r="214" spans="1:19" x14ac:dyDescent="0.3">
      <c r="A214" s="24"/>
      <c r="B214">
        <v>67.7</v>
      </c>
      <c r="C214" s="42">
        <f t="shared" si="18"/>
        <v>-2.3605794378547466E-3</v>
      </c>
      <c r="D214" s="26"/>
      <c r="E214" s="41">
        <v>2957.81</v>
      </c>
      <c r="F214" s="28">
        <f t="shared" si="19"/>
        <v>-7.7054364312011537E-4</v>
      </c>
      <c r="G214" s="26"/>
      <c r="H214" s="41">
        <v>1895</v>
      </c>
      <c r="I214" s="28">
        <f t="shared" si="20"/>
        <v>1.6022130672259813E-2</v>
      </c>
      <c r="J214" s="26"/>
      <c r="K214" s="41">
        <v>1640.01</v>
      </c>
      <c r="L214" s="28">
        <f t="shared" si="21"/>
        <v>-5.0596645241739061E-4</v>
      </c>
      <c r="M214" s="26"/>
      <c r="N214" s="23">
        <v>1785</v>
      </c>
      <c r="O214" s="28">
        <f t="shared" si="22"/>
        <v>-1.8190727747537318E-3</v>
      </c>
      <c r="P214" s="26"/>
      <c r="Q214" s="23"/>
      <c r="R214" s="28" t="str">
        <f t="shared" si="23"/>
        <v/>
      </c>
      <c r="S214" s="27"/>
    </row>
    <row r="215" spans="1:19" x14ac:dyDescent="0.3">
      <c r="A215" s="24"/>
      <c r="B215">
        <v>67.86</v>
      </c>
      <c r="C215" s="42">
        <f t="shared" si="18"/>
        <v>-1.5644737541476449E-2</v>
      </c>
      <c r="D215" s="26"/>
      <c r="E215" s="41">
        <v>2960.09</v>
      </c>
      <c r="F215" s="28">
        <f t="shared" si="19"/>
        <v>-7.8137490798785465E-3</v>
      </c>
      <c r="G215" s="26"/>
      <c r="H215" s="41">
        <v>1864.88</v>
      </c>
      <c r="I215" s="28">
        <f t="shared" si="20"/>
        <v>2.5404708119039842E-2</v>
      </c>
      <c r="J215" s="26"/>
      <c r="K215" s="41">
        <v>1640.84</v>
      </c>
      <c r="L215" s="28">
        <f t="shared" si="21"/>
        <v>1.1240136234802063E-2</v>
      </c>
      <c r="M215" s="26"/>
      <c r="N215" s="23">
        <v>1788.25</v>
      </c>
      <c r="O215" s="28">
        <f t="shared" si="22"/>
        <v>-1.1923597677662221E-2</v>
      </c>
      <c r="P215" s="26"/>
      <c r="Q215" s="23"/>
      <c r="R215" s="28" t="str">
        <f t="shared" si="23"/>
        <v/>
      </c>
      <c r="S215" s="27"/>
    </row>
    <row r="216" spans="1:19" x14ac:dyDescent="0.3">
      <c r="A216" s="24"/>
      <c r="B216">
        <v>68.930000000000007</v>
      </c>
      <c r="C216" s="42">
        <f t="shared" si="18"/>
        <v>-9.816738283014553E-3</v>
      </c>
      <c r="D216" s="26"/>
      <c r="E216" s="41">
        <v>2983.31</v>
      </c>
      <c r="F216" s="28">
        <f t="shared" si="19"/>
        <v>-4.4615757056733121E-3</v>
      </c>
      <c r="G216" s="26"/>
      <c r="H216" s="41">
        <v>1818.1</v>
      </c>
      <c r="I216" s="28">
        <f t="shared" si="20"/>
        <v>-1.2864479249776828E-2</v>
      </c>
      <c r="J216" s="26"/>
      <c r="K216" s="41">
        <v>1622.5</v>
      </c>
      <c r="L216" s="28">
        <f t="shared" si="21"/>
        <v>1.9668275767050946E-2</v>
      </c>
      <c r="M216" s="26"/>
      <c r="N216" s="23">
        <v>1809.7</v>
      </c>
      <c r="O216" s="28">
        <f t="shared" si="22"/>
        <v>1.2063408932695918E-2</v>
      </c>
      <c r="P216" s="26"/>
      <c r="Q216" s="23"/>
      <c r="R216" s="28" t="str">
        <f t="shared" si="23"/>
        <v/>
      </c>
      <c r="S216" s="27"/>
    </row>
    <row r="217" spans="1:19" x14ac:dyDescent="0.3">
      <c r="A217" s="24"/>
      <c r="B217">
        <v>69.61</v>
      </c>
      <c r="C217" s="42">
        <f t="shared" si="18"/>
        <v>1.2722450047061157E-2</v>
      </c>
      <c r="D217" s="26"/>
      <c r="E217" s="41">
        <v>2996.65</v>
      </c>
      <c r="F217" s="28">
        <f t="shared" si="19"/>
        <v>3.4765784068090024E-3</v>
      </c>
      <c r="G217" s="26"/>
      <c r="H217" s="41">
        <v>1841.64</v>
      </c>
      <c r="I217" s="28">
        <f t="shared" si="20"/>
        <v>1.6792615197199939E-3</v>
      </c>
      <c r="J217" s="26"/>
      <c r="K217" s="41">
        <v>1590.9</v>
      </c>
      <c r="L217" s="28">
        <f t="shared" si="21"/>
        <v>-4.2652012223318358E-3</v>
      </c>
      <c r="M217" s="26"/>
      <c r="N217" s="23">
        <v>1788</v>
      </c>
      <c r="O217" s="28">
        <f t="shared" si="22"/>
        <v>-1.1179431013412834E-3</v>
      </c>
      <c r="P217" s="26"/>
      <c r="Q217" s="23"/>
      <c r="R217" s="28" t="str">
        <f t="shared" si="23"/>
        <v/>
      </c>
      <c r="S217" s="27"/>
    </row>
    <row r="218" spans="1:19" x14ac:dyDescent="0.3">
      <c r="A218" s="24"/>
      <c r="B218">
        <v>68.73</v>
      </c>
      <c r="C218" s="42">
        <f t="shared" si="18"/>
        <v>-3.9207194637454921E-3</v>
      </c>
      <c r="D218" s="26"/>
      <c r="E218" s="41">
        <v>2986.25</v>
      </c>
      <c r="F218" s="28">
        <f t="shared" si="19"/>
        <v>3.9257013519122003E-2</v>
      </c>
      <c r="G218" s="26"/>
      <c r="H218" s="41">
        <v>1838.55</v>
      </c>
      <c r="I218" s="28">
        <f t="shared" si="20"/>
        <v>1.3062292656526202E-3</v>
      </c>
      <c r="J218" s="26"/>
      <c r="K218" s="41">
        <v>1597.7</v>
      </c>
      <c r="L218" s="28">
        <f t="shared" si="21"/>
        <v>6.7196535071168129E-3</v>
      </c>
      <c r="M218" s="26"/>
      <c r="N218" s="23">
        <v>1790</v>
      </c>
      <c r="O218" s="28">
        <f t="shared" si="22"/>
        <v>1.9245464104667168E-2</v>
      </c>
      <c r="P218" s="26"/>
      <c r="Q218" s="23"/>
      <c r="R218" s="28" t="str">
        <f t="shared" si="23"/>
        <v/>
      </c>
      <c r="S218" s="27"/>
    </row>
    <row r="219" spans="1:19" x14ac:dyDescent="0.3">
      <c r="A219" s="24"/>
      <c r="B219">
        <v>69</v>
      </c>
      <c r="C219" s="42">
        <f t="shared" si="18"/>
        <v>7.2490035794851838E-4</v>
      </c>
      <c r="D219" s="26"/>
      <c r="E219" s="41">
        <v>2871.29</v>
      </c>
      <c r="F219" s="28">
        <f t="shared" si="19"/>
        <v>8.0917454366438799E-3</v>
      </c>
      <c r="G219" s="26"/>
      <c r="H219" s="41">
        <v>1836.15</v>
      </c>
      <c r="I219" s="28">
        <f t="shared" si="20"/>
        <v>-2.0270782227176206E-2</v>
      </c>
      <c r="J219" s="26"/>
      <c r="K219" s="41">
        <v>1587</v>
      </c>
      <c r="L219" s="28">
        <f t="shared" si="21"/>
        <v>-1.1913627202880714E-2</v>
      </c>
      <c r="M219" s="26"/>
      <c r="N219" s="23">
        <v>1755.88</v>
      </c>
      <c r="O219" s="28">
        <f t="shared" si="22"/>
        <v>-6.8788084674552934E-3</v>
      </c>
      <c r="P219" s="26"/>
      <c r="Q219" s="23"/>
      <c r="R219" s="28" t="str">
        <f t="shared" si="23"/>
        <v/>
      </c>
      <c r="S219" s="27"/>
    </row>
    <row r="220" spans="1:19" x14ac:dyDescent="0.3">
      <c r="A220" s="24"/>
      <c r="B220">
        <v>68.95</v>
      </c>
      <c r="C220" s="42">
        <f t="shared" si="18"/>
        <v>7.8625914664041969E-3</v>
      </c>
      <c r="D220" s="26"/>
      <c r="E220" s="41">
        <v>2848.15</v>
      </c>
      <c r="F220" s="28">
        <f t="shared" si="19"/>
        <v>-1.1113688977180947E-2</v>
      </c>
      <c r="G220" s="26"/>
      <c r="H220" s="41">
        <v>1873.75</v>
      </c>
      <c r="I220" s="28">
        <f t="shared" si="20"/>
        <v>-1.5652705295598406E-2</v>
      </c>
      <c r="J220" s="26"/>
      <c r="K220" s="41">
        <v>1606.02</v>
      </c>
      <c r="L220" s="28">
        <f t="shared" si="21"/>
        <v>-2.475110249218905E-3</v>
      </c>
      <c r="M220" s="26"/>
      <c r="N220" s="23">
        <v>1768</v>
      </c>
      <c r="O220" s="28">
        <f t="shared" si="22"/>
        <v>-2.1819047394639725E-2</v>
      </c>
      <c r="P220" s="26"/>
      <c r="Q220" s="23"/>
      <c r="R220" s="28" t="str">
        <f t="shared" si="23"/>
        <v/>
      </c>
      <c r="S220" s="27"/>
    </row>
    <row r="221" spans="1:19" x14ac:dyDescent="0.3">
      <c r="A221" s="24"/>
      <c r="B221">
        <v>68.41</v>
      </c>
      <c r="C221" s="42">
        <f t="shared" si="18"/>
        <v>5.8642595853593028E-3</v>
      </c>
      <c r="D221" s="26"/>
      <c r="E221" s="41">
        <v>2879.98</v>
      </c>
      <c r="F221" s="28">
        <f t="shared" si="19"/>
        <v>-3.6461478610963684E-3</v>
      </c>
      <c r="G221" s="26"/>
      <c r="H221" s="41">
        <v>1903.31</v>
      </c>
      <c r="I221" s="28">
        <f t="shared" si="20"/>
        <v>3.5369388697402788E-3</v>
      </c>
      <c r="J221" s="26"/>
      <c r="K221" s="41">
        <v>1610</v>
      </c>
      <c r="L221" s="28">
        <f t="shared" si="21"/>
        <v>-1.3516928966065244E-2</v>
      </c>
      <c r="M221" s="26"/>
      <c r="N221" s="23">
        <v>1807</v>
      </c>
      <c r="O221" s="28">
        <f t="shared" si="22"/>
        <v>-3.8663400828534617E-3</v>
      </c>
      <c r="P221" s="26"/>
      <c r="Q221" s="23"/>
      <c r="R221" s="28" t="str">
        <f t="shared" si="23"/>
        <v/>
      </c>
      <c r="S221" s="27"/>
    </row>
    <row r="222" spans="1:19" x14ac:dyDescent="0.3">
      <c r="A222" s="24"/>
      <c r="B222">
        <v>68.010000000000005</v>
      </c>
      <c r="C222" s="42">
        <f t="shared" si="18"/>
        <v>-1.0385524488452565E-2</v>
      </c>
      <c r="D222" s="26"/>
      <c r="E222" s="41">
        <v>2890.5</v>
      </c>
      <c r="F222" s="28">
        <f t="shared" si="19"/>
        <v>-1.534887881189991E-3</v>
      </c>
      <c r="G222" s="26"/>
      <c r="H222" s="41">
        <v>1896.59</v>
      </c>
      <c r="I222" s="28">
        <f t="shared" si="20"/>
        <v>-4.4402196256328654E-3</v>
      </c>
      <c r="J222" s="26"/>
      <c r="K222" s="41">
        <v>1631.91</v>
      </c>
      <c r="L222" s="28">
        <f t="shared" si="21"/>
        <v>-2.1868200752309944E-2</v>
      </c>
      <c r="M222" s="26"/>
      <c r="N222" s="23">
        <v>1814</v>
      </c>
      <c r="O222" s="28">
        <f t="shared" si="22"/>
        <v>6.0768611754427491E-3</v>
      </c>
      <c r="P222" s="26"/>
      <c r="Q222" s="23"/>
      <c r="R222" s="28" t="str">
        <f t="shared" si="23"/>
        <v/>
      </c>
      <c r="S222" s="27"/>
    </row>
    <row r="223" spans="1:19" x14ac:dyDescent="0.3">
      <c r="A223" s="24"/>
      <c r="B223">
        <v>68.72</v>
      </c>
      <c r="C223" s="42">
        <f t="shared" si="18"/>
        <v>-2.8970906101334605E-2</v>
      </c>
      <c r="D223" s="26"/>
      <c r="E223" s="41">
        <v>2894.94</v>
      </c>
      <c r="F223" s="28">
        <f t="shared" si="19"/>
        <v>-8.7664802908494783E-3</v>
      </c>
      <c r="G223" s="26"/>
      <c r="H223" s="41">
        <v>1905.03</v>
      </c>
      <c r="I223" s="28">
        <f t="shared" si="20"/>
        <v>7.9103454600175076E-3</v>
      </c>
      <c r="J223" s="26"/>
      <c r="K223" s="41">
        <v>1667.99</v>
      </c>
      <c r="L223" s="28">
        <f t="shared" si="21"/>
        <v>9.0274898758596223E-3</v>
      </c>
      <c r="M223" s="26"/>
      <c r="N223" s="23">
        <v>1803.01</v>
      </c>
      <c r="O223" s="28">
        <f t="shared" si="22"/>
        <v>-1.5617750855492224E-2</v>
      </c>
      <c r="P223" s="26"/>
      <c r="Q223" s="23"/>
      <c r="R223" s="28" t="str">
        <f t="shared" si="23"/>
        <v/>
      </c>
      <c r="S223" s="27"/>
    </row>
    <row r="224" spans="1:19" x14ac:dyDescent="0.3">
      <c r="A224" s="24"/>
      <c r="B224">
        <v>70.739999999999995</v>
      </c>
      <c r="C224" s="42">
        <f t="shared" si="18"/>
        <v>7.0706359447186319E-4</v>
      </c>
      <c r="D224" s="26"/>
      <c r="E224" s="41">
        <v>2920.43</v>
      </c>
      <c r="F224" s="28">
        <f t="shared" si="19"/>
        <v>6.7132792513946637E-3</v>
      </c>
      <c r="G224" s="26"/>
      <c r="H224" s="41">
        <v>1890.02</v>
      </c>
      <c r="I224" s="28">
        <f t="shared" si="20"/>
        <v>-4.1764075541822149E-3</v>
      </c>
      <c r="J224" s="26"/>
      <c r="K224" s="41">
        <v>1653</v>
      </c>
      <c r="L224" s="28">
        <f t="shared" si="21"/>
        <v>1.7084003057186249E-2</v>
      </c>
      <c r="M224" s="26"/>
      <c r="N224" s="23">
        <v>1831.39</v>
      </c>
      <c r="O224" s="28">
        <f t="shared" si="22"/>
        <v>2.5096758918687134E-2</v>
      </c>
      <c r="P224" s="26"/>
      <c r="Q224" s="23"/>
      <c r="R224" s="28" t="str">
        <f t="shared" si="23"/>
        <v/>
      </c>
      <c r="S224" s="27"/>
    </row>
    <row r="225" spans="1:19" x14ac:dyDescent="0.3">
      <c r="A225" s="24"/>
      <c r="B225">
        <v>70.69</v>
      </c>
      <c r="C225" s="42">
        <f t="shared" si="18"/>
        <v>-9.9937491626760962E-3</v>
      </c>
      <c r="D225" s="26"/>
      <c r="E225" s="41">
        <v>2900.89</v>
      </c>
      <c r="F225" s="28">
        <f t="shared" si="19"/>
        <v>-1.5641164290923097E-2</v>
      </c>
      <c r="G225" s="26"/>
      <c r="H225" s="41">
        <v>1897.93</v>
      </c>
      <c r="I225" s="28">
        <f t="shared" si="20"/>
        <v>1.5895478773675316E-2</v>
      </c>
      <c r="J225" s="26"/>
      <c r="K225" s="41">
        <v>1625</v>
      </c>
      <c r="L225" s="28">
        <f t="shared" si="21"/>
        <v>-3.076449801221464E-4</v>
      </c>
      <c r="M225" s="26"/>
      <c r="N225" s="23">
        <v>1786</v>
      </c>
      <c r="O225" s="28">
        <f t="shared" si="22"/>
        <v>5.3333459753626029E-3</v>
      </c>
      <c r="P225" s="26"/>
      <c r="Q225" s="23"/>
      <c r="R225" s="28" t="str">
        <f t="shared" si="23"/>
        <v/>
      </c>
      <c r="S225" s="27"/>
    </row>
    <row r="226" spans="1:19" x14ac:dyDescent="0.3">
      <c r="A226" s="24"/>
      <c r="B226">
        <v>71.400000000000006</v>
      </c>
      <c r="C226" s="42">
        <f t="shared" si="18"/>
        <v>-5.1686920964417191E-3</v>
      </c>
      <c r="D226" s="26"/>
      <c r="E226" s="41">
        <v>2946.62</v>
      </c>
      <c r="F226" s="28">
        <f t="shared" si="19"/>
        <v>-1.1804672329269851E-2</v>
      </c>
      <c r="G226" s="26"/>
      <c r="H226" s="41">
        <v>1868</v>
      </c>
      <c r="I226" s="28">
        <f t="shared" si="20"/>
        <v>1.1289396165961491E-2</v>
      </c>
      <c r="J226" s="26"/>
      <c r="K226" s="41">
        <v>1625.5</v>
      </c>
      <c r="L226" s="28">
        <f t="shared" si="21"/>
        <v>1.8941724525015174E-2</v>
      </c>
      <c r="M226" s="26"/>
      <c r="N226" s="23">
        <v>1776.5</v>
      </c>
      <c r="O226" s="28">
        <f t="shared" si="22"/>
        <v>9.3256456268439418E-3</v>
      </c>
      <c r="P226" s="26"/>
      <c r="Q226" s="23"/>
      <c r="R226" s="28" t="str">
        <f t="shared" si="23"/>
        <v/>
      </c>
      <c r="S226" s="27"/>
    </row>
    <row r="227" spans="1:19" x14ac:dyDescent="0.3">
      <c r="A227" s="24"/>
      <c r="B227">
        <v>71.77</v>
      </c>
      <c r="C227" s="42">
        <f t="shared" si="18"/>
        <v>2.9303028014619498E-3</v>
      </c>
      <c r="D227" s="26"/>
      <c r="E227" s="41">
        <v>2981.61</v>
      </c>
      <c r="F227" s="28">
        <f t="shared" si="19"/>
        <v>2.2682801081824525E-2</v>
      </c>
      <c r="G227" s="26"/>
      <c r="H227" s="41">
        <v>1847.03</v>
      </c>
      <c r="I227" s="28">
        <f t="shared" si="20"/>
        <v>-2.3310006028329076E-2</v>
      </c>
      <c r="J227" s="26"/>
      <c r="K227" s="41">
        <v>1595</v>
      </c>
      <c r="L227" s="28">
        <f t="shared" si="21"/>
        <v>-2.6328822062689054E-4</v>
      </c>
      <c r="M227" s="26"/>
      <c r="N227" s="23">
        <v>1760.01</v>
      </c>
      <c r="O227" s="28">
        <f t="shared" si="22"/>
        <v>7.3336019092494287E-3</v>
      </c>
      <c r="P227" s="26"/>
      <c r="Q227" s="23"/>
      <c r="R227" s="28" t="str">
        <f t="shared" si="23"/>
        <v/>
      </c>
      <c r="S227" s="27"/>
    </row>
    <row r="228" spans="1:19" x14ac:dyDescent="0.3">
      <c r="B228">
        <v>71.56</v>
      </c>
      <c r="C228" s="42">
        <f t="shared" si="18"/>
        <v>-6.9847037832999122E-4</v>
      </c>
      <c r="D228" s="26"/>
      <c r="E228" s="41">
        <v>2914.74</v>
      </c>
      <c r="F228" s="28">
        <f t="shared" si="19"/>
        <v>1.4007624084615884E-3</v>
      </c>
      <c r="G228" s="26"/>
      <c r="H228" s="41">
        <v>1890.59</v>
      </c>
      <c r="I228" s="28">
        <f t="shared" si="20"/>
        <v>0.11250367490528154</v>
      </c>
      <c r="J228" s="26"/>
      <c r="K228" s="41">
        <v>1595.42</v>
      </c>
      <c r="L228" s="28">
        <f t="shared" si="21"/>
        <v>-1.7114618053502121E-2</v>
      </c>
      <c r="M228" s="26"/>
      <c r="N228" s="23">
        <v>1747.15</v>
      </c>
      <c r="O228" s="28">
        <f t="shared" si="22"/>
        <v>1.275883845952825E-2</v>
      </c>
      <c r="P228" s="26"/>
      <c r="Q228" s="23"/>
      <c r="R228" s="28" t="str">
        <f t="shared" si="23"/>
        <v/>
      </c>
      <c r="S228" s="27"/>
    </row>
    <row r="229" spans="1:19" x14ac:dyDescent="0.3">
      <c r="B229">
        <v>71.61</v>
      </c>
      <c r="C229" s="42">
        <f t="shared" si="18"/>
        <v>-1.7579523932854415E-2</v>
      </c>
      <c r="D229" s="26"/>
      <c r="E229" s="41">
        <v>2910.66</v>
      </c>
      <c r="F229" s="28">
        <f t="shared" si="19"/>
        <v>1.0978529968873873E-2</v>
      </c>
      <c r="G229" s="26"/>
      <c r="H229" s="41">
        <v>1689.42</v>
      </c>
      <c r="I229" s="28">
        <f t="shared" si="20"/>
        <v>-1.9159812843963749E-3</v>
      </c>
      <c r="J229" s="26"/>
      <c r="K229" s="41">
        <v>1622.96</v>
      </c>
      <c r="L229" s="28">
        <f t="shared" si="21"/>
        <v>3.7470914408071578E-3</v>
      </c>
      <c r="M229" s="26"/>
      <c r="N229" s="23">
        <v>1725</v>
      </c>
      <c r="O229" s="28">
        <f t="shared" si="22"/>
        <v>-5.7861265876502548E-3</v>
      </c>
      <c r="P229" s="26"/>
      <c r="Q229" s="23"/>
      <c r="R229" s="28" t="str">
        <f t="shared" si="23"/>
        <v/>
      </c>
      <c r="S229" s="27"/>
    </row>
    <row r="230" spans="1:19" x14ac:dyDescent="0.3">
      <c r="B230">
        <v>72.88</v>
      </c>
      <c r="C230" s="42">
        <f t="shared" si="18"/>
        <v>1.4651264153766046E-2</v>
      </c>
      <c r="D230" s="26"/>
      <c r="E230" s="41">
        <v>2878.88</v>
      </c>
      <c r="F230" s="28">
        <f t="shared" si="19"/>
        <v>-2.1127292261960761E-2</v>
      </c>
      <c r="G230" s="26"/>
      <c r="H230" s="41">
        <v>1692.66</v>
      </c>
      <c r="I230" s="28">
        <f t="shared" si="20"/>
        <v>2.186600730415705E-2</v>
      </c>
      <c r="J230" s="26"/>
      <c r="K230" s="41">
        <v>1616.89</v>
      </c>
      <c r="L230" s="28">
        <f t="shared" si="21"/>
        <v>-3.3391872481240551E-4</v>
      </c>
      <c r="M230" s="26"/>
      <c r="N230" s="23">
        <v>1735.01</v>
      </c>
      <c r="O230" s="28">
        <f t="shared" si="22"/>
        <v>-2.8776832653864808E-3</v>
      </c>
      <c r="P230" s="26"/>
      <c r="Q230" s="23"/>
      <c r="R230" s="28" t="str">
        <f t="shared" si="23"/>
        <v/>
      </c>
      <c r="S230" s="27"/>
    </row>
    <row r="231" spans="1:19" x14ac:dyDescent="0.3">
      <c r="B231">
        <v>71.819999999999993</v>
      </c>
      <c r="C231" s="42">
        <f t="shared" si="18"/>
        <v>-1.9474202843955666E-3</v>
      </c>
      <c r="D231" s="26"/>
      <c r="E231" s="41">
        <v>2940.35</v>
      </c>
      <c r="F231" s="28">
        <f t="shared" si="19"/>
        <v>7.9644591706023962E-2</v>
      </c>
      <c r="G231" s="26"/>
      <c r="H231" s="41">
        <v>1656.05</v>
      </c>
      <c r="I231" s="28">
        <f t="shared" si="20"/>
        <v>-1.086864638117406E-4</v>
      </c>
      <c r="J231" s="26"/>
      <c r="K231" s="41">
        <v>1617.43</v>
      </c>
      <c r="L231" s="28">
        <f t="shared" si="21"/>
        <v>1.2717862322435519E-2</v>
      </c>
      <c r="M231" s="26"/>
      <c r="N231" s="23">
        <v>1740.01</v>
      </c>
      <c r="O231" s="28">
        <f t="shared" si="22"/>
        <v>-2.6541046741074721E-2</v>
      </c>
      <c r="P231" s="26"/>
      <c r="Q231" s="23"/>
      <c r="R231" s="28" t="str">
        <f t="shared" si="23"/>
        <v/>
      </c>
      <c r="S231" s="27"/>
    </row>
    <row r="232" spans="1:19" x14ac:dyDescent="0.3">
      <c r="B232">
        <v>71.959999999999994</v>
      </c>
      <c r="C232" s="42">
        <f t="shared" si="18"/>
        <v>1.1882435186905778E-2</v>
      </c>
      <c r="D232" s="26"/>
      <c r="E232" s="41">
        <v>2715.25</v>
      </c>
      <c r="F232" s="28">
        <f t="shared" si="19"/>
        <v>1.5776125266536187E-2</v>
      </c>
      <c r="G232" s="26"/>
      <c r="H232" s="41">
        <v>1656.23</v>
      </c>
      <c r="I232" s="28">
        <f t="shared" si="20"/>
        <v>5.1514210682644911E-3</v>
      </c>
      <c r="J232" s="26"/>
      <c r="K232" s="41">
        <v>1596.99</v>
      </c>
      <c r="L232" s="28">
        <f t="shared" si="21"/>
        <v>5.714516568217403E-3</v>
      </c>
      <c r="M232" s="26"/>
      <c r="N232" s="23">
        <v>1786.81</v>
      </c>
      <c r="O232" s="28">
        <f t="shared" si="22"/>
        <v>1.735085961070241E-4</v>
      </c>
      <c r="P232" s="26"/>
      <c r="Q232" s="23"/>
      <c r="R232" s="28" t="str">
        <f t="shared" si="23"/>
        <v/>
      </c>
      <c r="S232" s="27"/>
    </row>
    <row r="233" spans="1:19" x14ac:dyDescent="0.3">
      <c r="B233">
        <v>71.11</v>
      </c>
      <c r="C233" s="42">
        <f t="shared" si="18"/>
        <v>-9.3779118240346678E-3</v>
      </c>
      <c r="D233" s="26"/>
      <c r="E233" s="41">
        <v>2672.75</v>
      </c>
      <c r="F233" s="28">
        <f t="shared" si="19"/>
        <v>-2.0515818895348654E-2</v>
      </c>
      <c r="G233" s="26"/>
      <c r="H233" s="41">
        <v>1647.72</v>
      </c>
      <c r="I233" s="28">
        <f t="shared" si="20"/>
        <v>-9.2908165544334578E-3</v>
      </c>
      <c r="J233" s="26"/>
      <c r="K233" s="41">
        <v>1587.89</v>
      </c>
      <c r="L233" s="28">
        <f t="shared" si="21"/>
        <v>1.1909676916331199E-3</v>
      </c>
      <c r="M233" s="26"/>
      <c r="N233" s="23">
        <v>1786.5</v>
      </c>
      <c r="O233" s="28">
        <f t="shared" si="22"/>
        <v>1.2113373834497235E-2</v>
      </c>
      <c r="P233" s="26"/>
      <c r="Q233" s="23"/>
      <c r="R233" s="28" t="str">
        <f t="shared" si="23"/>
        <v/>
      </c>
      <c r="S233" s="27"/>
    </row>
    <row r="234" spans="1:19" x14ac:dyDescent="0.3">
      <c r="B234">
        <v>71.78</v>
      </c>
      <c r="C234" s="42">
        <f t="shared" si="18"/>
        <v>1.7993175901238178E-2</v>
      </c>
      <c r="D234" s="26"/>
      <c r="E234" s="41">
        <v>2728.15</v>
      </c>
      <c r="F234" s="28">
        <f t="shared" si="19"/>
        <v>-1.5461835159331853E-2</v>
      </c>
      <c r="G234" s="26"/>
      <c r="H234" s="41">
        <v>1663.1</v>
      </c>
      <c r="I234" s="28">
        <f t="shared" si="20"/>
        <v>-9.4733550493070005E-3</v>
      </c>
      <c r="J234" s="26"/>
      <c r="K234" s="41">
        <v>1586</v>
      </c>
      <c r="L234" s="28">
        <f t="shared" si="21"/>
        <v>-2.5188930194839148E-3</v>
      </c>
      <c r="M234" s="26"/>
      <c r="N234" s="23">
        <v>1764.99</v>
      </c>
      <c r="O234" s="28">
        <f t="shared" si="22"/>
        <v>2.2917974163507108E-2</v>
      </c>
      <c r="P234" s="26"/>
      <c r="Q234" s="23"/>
      <c r="R234" s="28" t="str">
        <f t="shared" si="23"/>
        <v/>
      </c>
      <c r="S234" s="27"/>
    </row>
    <row r="235" spans="1:19" x14ac:dyDescent="0.3">
      <c r="B235">
        <v>70.5</v>
      </c>
      <c r="C235" s="42">
        <f t="shared" si="18"/>
        <v>-3.1157085111650153E-3</v>
      </c>
      <c r="D235" s="26"/>
      <c r="E235" s="41">
        <v>2770.66</v>
      </c>
      <c r="F235" s="28">
        <f t="shared" si="19"/>
        <v>1.5066040835279468E-2</v>
      </c>
      <c r="G235" s="26"/>
      <c r="H235" s="41">
        <v>1678.93</v>
      </c>
      <c r="I235" s="28">
        <f t="shared" si="20"/>
        <v>2.8209507758692763E-2</v>
      </c>
      <c r="J235" s="26"/>
      <c r="K235" s="41">
        <v>1590</v>
      </c>
      <c r="L235" s="28">
        <f t="shared" si="21"/>
        <v>-1.8975695447679855E-3</v>
      </c>
      <c r="M235" s="26"/>
      <c r="N235" s="23">
        <v>1725</v>
      </c>
      <c r="O235" s="28">
        <f t="shared" si="22"/>
        <v>-9.117727196163319E-3</v>
      </c>
      <c r="P235" s="26"/>
      <c r="Q235" s="23"/>
      <c r="R235" s="28" t="str">
        <f t="shared" si="23"/>
        <v/>
      </c>
      <c r="S235" s="27"/>
    </row>
    <row r="236" spans="1:19" x14ac:dyDescent="0.3">
      <c r="B236">
        <v>70.72</v>
      </c>
      <c r="C236" s="42">
        <f t="shared" si="18"/>
        <v>2.1583057475616164E-2</v>
      </c>
      <c r="D236" s="26"/>
      <c r="E236" s="41">
        <v>2729.23</v>
      </c>
      <c r="F236" s="28">
        <f t="shared" si="19"/>
        <v>8.1674251811009613E-3</v>
      </c>
      <c r="G236" s="26"/>
      <c r="H236" s="41">
        <v>1632.23</v>
      </c>
      <c r="I236" s="28">
        <f t="shared" si="20"/>
        <v>1.4346501056692693E-3</v>
      </c>
      <c r="J236" s="26"/>
      <c r="K236" s="41">
        <v>1593.02</v>
      </c>
      <c r="L236" s="28">
        <f t="shared" si="21"/>
        <v>-8.1150297476617443E-3</v>
      </c>
      <c r="M236" s="26"/>
      <c r="N236" s="23">
        <v>1740.8</v>
      </c>
      <c r="O236" s="28">
        <f t="shared" si="22"/>
        <v>-1.4372324502281911E-2</v>
      </c>
      <c r="P236" s="26"/>
      <c r="Q236" s="23"/>
      <c r="R236" s="28" t="str">
        <f t="shared" si="23"/>
        <v/>
      </c>
      <c r="S236" s="27"/>
    </row>
    <row r="237" spans="1:19" x14ac:dyDescent="0.3">
      <c r="B237">
        <v>69.209999999999994</v>
      </c>
      <c r="C237" s="42">
        <f t="shared" si="18"/>
        <v>3.6191063573413028E-2</v>
      </c>
      <c r="D237" s="26"/>
      <c r="E237" s="41">
        <v>2707.03</v>
      </c>
      <c r="F237" s="28">
        <f t="shared" si="19"/>
        <v>3.6578134442677879E-4</v>
      </c>
      <c r="G237" s="26"/>
      <c r="H237" s="41">
        <v>1629.89</v>
      </c>
      <c r="I237" s="28">
        <f t="shared" si="20"/>
        <v>9.5863234627556037E-3</v>
      </c>
      <c r="J237" s="26"/>
      <c r="K237" s="41">
        <v>1606</v>
      </c>
      <c r="L237" s="28">
        <f t="shared" si="21"/>
        <v>6.2285894259067674E-4</v>
      </c>
      <c r="M237" s="26"/>
      <c r="N237" s="23">
        <v>1766</v>
      </c>
      <c r="O237" s="28">
        <f t="shared" si="22"/>
        <v>1.7703925110794938E-2</v>
      </c>
      <c r="P237" s="26"/>
      <c r="Q237" s="23"/>
      <c r="R237" s="28" t="str">
        <f t="shared" si="23"/>
        <v/>
      </c>
      <c r="S237" s="27"/>
    </row>
    <row r="238" spans="1:19" x14ac:dyDescent="0.3">
      <c r="B238">
        <v>66.75</v>
      </c>
      <c r="C238" s="42">
        <f t="shared" si="18"/>
        <v>-9.3939406980477914E-3</v>
      </c>
      <c r="D238" s="26"/>
      <c r="E238" s="41">
        <v>2706.04</v>
      </c>
      <c r="F238" s="28">
        <f t="shared" si="19"/>
        <v>1.8864510364181182E-3</v>
      </c>
      <c r="G238" s="26"/>
      <c r="H238" s="41">
        <v>1614.34</v>
      </c>
      <c r="I238" s="28">
        <f t="shared" si="20"/>
        <v>1.444356877005834E-3</v>
      </c>
      <c r="J238" s="26"/>
      <c r="K238" s="41">
        <v>1605</v>
      </c>
      <c r="L238" s="28">
        <f t="shared" si="21"/>
        <v>1.2539349252735173E-2</v>
      </c>
      <c r="M238" s="26"/>
      <c r="N238" s="23">
        <v>1735.01</v>
      </c>
      <c r="O238" s="28">
        <f t="shared" si="22"/>
        <v>-2.0957729497533837E-3</v>
      </c>
      <c r="P238" s="26"/>
      <c r="Q238" s="23"/>
      <c r="R238" s="28" t="str">
        <f t="shared" si="23"/>
        <v/>
      </c>
      <c r="S238" s="27"/>
    </row>
    <row r="239" spans="1:19" x14ac:dyDescent="0.3">
      <c r="B239">
        <v>67.38</v>
      </c>
      <c r="C239" s="42">
        <f t="shared" si="18"/>
        <v>2.1906352377190529E-2</v>
      </c>
      <c r="D239" s="26"/>
      <c r="E239" s="41">
        <v>2700.94</v>
      </c>
      <c r="F239" s="28">
        <f t="shared" si="19"/>
        <v>1.6876525312697174E-2</v>
      </c>
      <c r="G239" s="26"/>
      <c r="H239" s="41">
        <v>1612.01</v>
      </c>
      <c r="I239" s="28">
        <f t="shared" si="20"/>
        <v>-1.1821831751590503E-2</v>
      </c>
      <c r="J239" s="26"/>
      <c r="K239" s="41">
        <v>1585</v>
      </c>
      <c r="L239" s="28">
        <f t="shared" si="21"/>
        <v>-4.4003986661840591E-3</v>
      </c>
      <c r="M239" s="26"/>
      <c r="N239" s="23">
        <v>1738.65</v>
      </c>
      <c r="O239" s="28">
        <f t="shared" si="22"/>
        <v>2.1188278376787755E-3</v>
      </c>
      <c r="P239" s="26"/>
      <c r="Q239" s="23"/>
      <c r="R239" s="28" t="str">
        <f t="shared" si="23"/>
        <v/>
      </c>
      <c r="S239" s="27"/>
    </row>
    <row r="240" spans="1:19" x14ac:dyDescent="0.3">
      <c r="B240">
        <v>65.92</v>
      </c>
      <c r="C240" s="42">
        <f t="shared" si="18"/>
        <v>-3.7223293948242357E-2</v>
      </c>
      <c r="D240" s="26"/>
      <c r="E240" s="41">
        <v>2655.74</v>
      </c>
      <c r="F240" s="28">
        <f t="shared" si="19"/>
        <v>2.6361476244683414E-4</v>
      </c>
      <c r="G240" s="26"/>
      <c r="H240" s="41">
        <v>1631.18</v>
      </c>
      <c r="I240" s="28">
        <f t="shared" si="20"/>
        <v>2.7168424673860905E-2</v>
      </c>
      <c r="J240" s="26"/>
      <c r="K240" s="41">
        <v>1591.99</v>
      </c>
      <c r="L240" s="28">
        <f t="shared" si="21"/>
        <v>2.2866380239228077E-2</v>
      </c>
      <c r="M240" s="26"/>
      <c r="N240" s="23">
        <v>1734.97</v>
      </c>
      <c r="O240" s="28">
        <f t="shared" si="22"/>
        <v>-5.7045231499730867E-4</v>
      </c>
      <c r="P240" s="26"/>
      <c r="Q240" s="23"/>
      <c r="R240" s="28" t="str">
        <f t="shared" si="23"/>
        <v/>
      </c>
      <c r="S240" s="27"/>
    </row>
    <row r="241" spans="2:19" x14ac:dyDescent="0.3">
      <c r="B241">
        <v>68.42</v>
      </c>
      <c r="C241" s="42">
        <f t="shared" si="18"/>
        <v>2.9274025589589151E-3</v>
      </c>
      <c r="D241" s="26"/>
      <c r="E241" s="41">
        <v>2655.04</v>
      </c>
      <c r="F241" s="28">
        <f t="shared" si="19"/>
        <v>7.0984744231793193E-3</v>
      </c>
      <c r="G241" s="26"/>
      <c r="H241" s="41">
        <v>1587.46</v>
      </c>
      <c r="I241" s="28">
        <f t="shared" si="20"/>
        <v>2.1819612246358183E-3</v>
      </c>
      <c r="J241" s="26"/>
      <c r="K241" s="41">
        <v>1556</v>
      </c>
      <c r="L241" s="28">
        <f t="shared" si="21"/>
        <v>-8.9571936040168283E-3</v>
      </c>
      <c r="M241" s="26"/>
      <c r="N241" s="23">
        <v>1735.96</v>
      </c>
      <c r="O241" s="28">
        <f t="shared" si="22"/>
        <v>-1.2320390339033831E-2</v>
      </c>
      <c r="P241" s="26"/>
      <c r="Q241" s="23"/>
      <c r="R241" s="28" t="str">
        <f t="shared" si="23"/>
        <v/>
      </c>
      <c r="S241" s="27"/>
    </row>
    <row r="242" spans="2:19" x14ac:dyDescent="0.3">
      <c r="B242">
        <v>68.22</v>
      </c>
      <c r="C242" s="42">
        <f t="shared" si="18"/>
        <v>-1.0933850452700216E-2</v>
      </c>
      <c r="D242" s="26"/>
      <c r="E242" s="41">
        <v>2636.26</v>
      </c>
      <c r="F242" s="28">
        <f t="shared" si="19"/>
        <v>1.0390407037194866E-2</v>
      </c>
      <c r="G242" s="26"/>
      <c r="H242" s="41">
        <v>1584</v>
      </c>
      <c r="I242" s="28">
        <f t="shared" si="20"/>
        <v>6.3522032991189074E-3</v>
      </c>
      <c r="J242" s="26"/>
      <c r="K242" s="41">
        <v>1570</v>
      </c>
      <c r="L242" s="28">
        <f t="shared" si="21"/>
        <v>-1.3356266511797206E-2</v>
      </c>
      <c r="M242" s="26"/>
      <c r="N242" s="23">
        <v>1757.48</v>
      </c>
      <c r="O242" s="28">
        <f t="shared" si="22"/>
        <v>-9.6039153541803996E-3</v>
      </c>
      <c r="P242" s="26"/>
      <c r="Q242" s="23"/>
      <c r="R242" s="28" t="str">
        <f t="shared" si="23"/>
        <v/>
      </c>
      <c r="S242" s="27"/>
    </row>
    <row r="243" spans="2:19" x14ac:dyDescent="0.3">
      <c r="B243">
        <v>68.97</v>
      </c>
      <c r="C243" s="42">
        <f t="shared" si="18"/>
        <v>-1.6536432609833961E-2</v>
      </c>
      <c r="D243" s="26"/>
      <c r="E243" s="41">
        <v>2609.0100000000002</v>
      </c>
      <c r="F243" s="28">
        <f t="shared" si="19"/>
        <v>-9.4492376407328636E-3</v>
      </c>
      <c r="G243" s="26"/>
      <c r="H243" s="41">
        <v>1573.97</v>
      </c>
      <c r="I243" s="28">
        <f t="shared" si="20"/>
        <v>-1.4982781773913918E-2</v>
      </c>
      <c r="J243" s="26"/>
      <c r="K243" s="41">
        <v>1591.11</v>
      </c>
      <c r="L243" s="28">
        <f t="shared" si="21"/>
        <v>7.6401505985089803E-3</v>
      </c>
      <c r="M243" s="26"/>
      <c r="N243" s="23">
        <v>1774.44</v>
      </c>
      <c r="O243" s="28">
        <f t="shared" si="22"/>
        <v>-1.2071521744516986E-2</v>
      </c>
      <c r="P243" s="26"/>
      <c r="Q243" s="23"/>
      <c r="R243" s="28" t="str">
        <f t="shared" si="23"/>
        <v/>
      </c>
      <c r="S243" s="27"/>
    </row>
    <row r="244" spans="2:19" x14ac:dyDescent="0.3">
      <c r="B244">
        <v>70.12</v>
      </c>
      <c r="C244" s="42">
        <f t="shared" si="18"/>
        <v>-6.1136182457891611E-3</v>
      </c>
      <c r="D244" s="26"/>
      <c r="E244" s="41">
        <v>2633.78</v>
      </c>
      <c r="F244" s="28">
        <f t="shared" si="19"/>
        <v>1.4452129919841147E-2</v>
      </c>
      <c r="G244" s="26"/>
      <c r="H244" s="41">
        <v>1597.73</v>
      </c>
      <c r="I244" s="28">
        <f t="shared" si="20"/>
        <v>5.3168432905696721E-2</v>
      </c>
      <c r="J244" s="26"/>
      <c r="K244" s="41">
        <v>1579</v>
      </c>
      <c r="L244" s="28">
        <f t="shared" si="21"/>
        <v>-6.9422809586351178E-3</v>
      </c>
      <c r="M244" s="26"/>
      <c r="N244" s="23">
        <v>1795.99</v>
      </c>
      <c r="O244" s="28">
        <f t="shared" si="22"/>
        <v>1.815953668178746E-2</v>
      </c>
      <c r="P244" s="26"/>
      <c r="Q244" s="23"/>
      <c r="R244" s="28" t="str">
        <f t="shared" si="23"/>
        <v/>
      </c>
      <c r="S244" s="27"/>
    </row>
    <row r="245" spans="2:19" x14ac:dyDescent="0.3">
      <c r="B245">
        <v>70.55</v>
      </c>
      <c r="C245" s="42">
        <f t="shared" si="18"/>
        <v>-5.3717969151725635E-3</v>
      </c>
      <c r="D245" s="26"/>
      <c r="E245" s="41">
        <v>2595.9899999999998</v>
      </c>
      <c r="F245" s="28">
        <f t="shared" si="19"/>
        <v>-2.0356848217695602E-3</v>
      </c>
      <c r="G245" s="26"/>
      <c r="H245" s="41">
        <v>1515</v>
      </c>
      <c r="I245" s="28">
        <f t="shared" si="20"/>
        <v>-6.0411215648777435E-3</v>
      </c>
      <c r="J245" s="26"/>
      <c r="K245" s="41">
        <v>1590</v>
      </c>
      <c r="L245" s="28">
        <f t="shared" si="21"/>
        <v>1.2658396871923465E-2</v>
      </c>
      <c r="M245" s="26"/>
      <c r="N245" s="23">
        <v>1763.67</v>
      </c>
      <c r="O245" s="28">
        <f t="shared" si="22"/>
        <v>1.4201645121488938E-2</v>
      </c>
      <c r="P245" s="26"/>
      <c r="Q245" s="23"/>
      <c r="R245" s="28" t="str">
        <f t="shared" si="23"/>
        <v/>
      </c>
      <c r="S245" s="27"/>
    </row>
    <row r="246" spans="2:19" x14ac:dyDescent="0.3">
      <c r="B246">
        <v>70.930000000000007</v>
      </c>
      <c r="C246" s="42">
        <f t="shared" si="18"/>
        <v>1.3341100512547268E-2</v>
      </c>
      <c r="D246" s="26"/>
      <c r="E246" s="41">
        <v>2601.2800000000002</v>
      </c>
      <c r="F246" s="28">
        <f t="shared" si="19"/>
        <v>-7.5217695981125649E-3</v>
      </c>
      <c r="G246" s="26"/>
      <c r="H246" s="41">
        <v>1524.18</v>
      </c>
      <c r="I246" s="28">
        <f t="shared" si="20"/>
        <v>4.7877819107206452E-3</v>
      </c>
      <c r="J246" s="26"/>
      <c r="K246" s="41">
        <v>1570</v>
      </c>
      <c r="L246" s="28">
        <f t="shared" si="21"/>
        <v>-1.8928009885518911E-2</v>
      </c>
      <c r="M246" s="26"/>
      <c r="N246" s="23">
        <v>1738.8</v>
      </c>
      <c r="O246" s="28">
        <f t="shared" si="22"/>
        <v>-2.9230299705824176E-3</v>
      </c>
      <c r="P246" s="26"/>
      <c r="Q246" s="23"/>
      <c r="R246" s="28" t="str">
        <f t="shared" si="23"/>
        <v/>
      </c>
      <c r="S246" s="27"/>
    </row>
    <row r="247" spans="2:19" x14ac:dyDescent="0.3">
      <c r="B247">
        <v>69.989999999999995</v>
      </c>
      <c r="C247" s="42">
        <f t="shared" si="18"/>
        <v>5.7314958446895046E-3</v>
      </c>
      <c r="D247" s="26"/>
      <c r="E247" s="41">
        <v>2620.92</v>
      </c>
      <c r="F247" s="28">
        <f t="shared" si="19"/>
        <v>6.0658549287308803E-3</v>
      </c>
      <c r="G247" s="26"/>
      <c r="H247" s="41">
        <v>1516.9</v>
      </c>
      <c r="I247" s="28">
        <f t="shared" si="20"/>
        <v>-1.6467414714945398E-3</v>
      </c>
      <c r="J247" s="26"/>
      <c r="K247" s="41">
        <v>1600</v>
      </c>
      <c r="L247" s="28">
        <f t="shared" si="21"/>
        <v>6.8987416911565217E-3</v>
      </c>
      <c r="M247" s="26"/>
      <c r="N247" s="23">
        <v>1743.89</v>
      </c>
      <c r="O247" s="28">
        <f t="shared" si="22"/>
        <v>9.7208702296853883E-3</v>
      </c>
      <c r="P247" s="26"/>
      <c r="Q247" s="23"/>
      <c r="R247" s="28" t="str">
        <f t="shared" si="23"/>
        <v/>
      </c>
      <c r="S247" s="27"/>
    </row>
    <row r="248" spans="2:19" x14ac:dyDescent="0.3">
      <c r="B248">
        <v>69.59</v>
      </c>
      <c r="C248" s="42">
        <f t="shared" si="18"/>
        <v>2.7977928612624475E-2</v>
      </c>
      <c r="E248" s="41">
        <v>2605.0700000000002</v>
      </c>
      <c r="F248" s="28">
        <f t="shared" si="19"/>
        <v>1.5130765822524438E-2</v>
      </c>
      <c r="G248" s="26"/>
      <c r="H248" s="41">
        <v>1519.4</v>
      </c>
      <c r="I248" s="28">
        <f t="shared" si="20"/>
        <v>-3.8034723756152598E-3</v>
      </c>
      <c r="J248" s="26"/>
      <c r="K248" s="41">
        <v>1589</v>
      </c>
      <c r="L248" s="28">
        <f t="shared" si="21"/>
        <v>-3.7813877885670122E-3</v>
      </c>
      <c r="M248" s="26"/>
      <c r="N248" s="23">
        <v>1727.02</v>
      </c>
      <c r="O248" s="28">
        <f t="shared" si="22"/>
        <v>-1.3978119408267781E-2</v>
      </c>
      <c r="P248" s="26"/>
      <c r="Q248" s="23"/>
      <c r="R248" s="28" t="str">
        <f t="shared" si="23"/>
        <v/>
      </c>
      <c r="S248" s="27"/>
    </row>
    <row r="249" spans="2:19" x14ac:dyDescent="0.3">
      <c r="B249">
        <v>67.67</v>
      </c>
      <c r="C249" s="42">
        <f t="shared" si="18"/>
        <v>-3.5850294467897934E-2</v>
      </c>
      <c r="E249" s="41">
        <v>2565.9499999999998</v>
      </c>
      <c r="F249" s="28">
        <f t="shared" si="19"/>
        <v>2.2093837187051071E-2</v>
      </c>
      <c r="G249" s="26"/>
      <c r="H249" s="41">
        <v>1525.19</v>
      </c>
      <c r="I249" s="28">
        <f t="shared" si="20"/>
        <v>-4.4746609095011412E-3</v>
      </c>
      <c r="J249" s="26"/>
      <c r="K249" s="41">
        <v>1595.02</v>
      </c>
      <c r="L249" s="28"/>
      <c r="M249" s="26"/>
      <c r="N249" s="23">
        <v>1751.33</v>
      </c>
      <c r="O249" s="28">
        <f t="shared" si="22"/>
        <v>-1.5304845625406533E-2</v>
      </c>
      <c r="P249" s="26"/>
      <c r="Q249" s="23"/>
      <c r="R249" s="28" t="str">
        <f t="shared" si="23"/>
        <v/>
      </c>
      <c r="S249" s="27"/>
    </row>
    <row r="250" spans="2:19" x14ac:dyDescent="0.3">
      <c r="B250">
        <v>70.14</v>
      </c>
      <c r="C250" s="42">
        <f t="shared" si="18"/>
        <v>7.4413623287390594E-3</v>
      </c>
      <c r="E250" s="41">
        <v>2509.88</v>
      </c>
      <c r="F250" s="28">
        <f t="shared" si="19"/>
        <v>2.553155030871964E-2</v>
      </c>
      <c r="G250" s="26"/>
      <c r="H250" s="41">
        <v>1532.03</v>
      </c>
      <c r="I250" s="28">
        <f t="shared" si="20"/>
        <v>1.0253095602204552E-3</v>
      </c>
      <c r="J250" s="26"/>
      <c r="K250" s="23"/>
      <c r="L250" s="28"/>
      <c r="M250" s="26"/>
      <c r="N250" s="23">
        <v>1778.34</v>
      </c>
      <c r="O250" s="28">
        <f t="shared" si="22"/>
        <v>-2.0961441864798511E-2</v>
      </c>
      <c r="P250" s="26"/>
      <c r="Q250" s="23"/>
      <c r="R250" s="28" t="str">
        <f t="shared" si="23"/>
        <v/>
      </c>
      <c r="S250" s="27"/>
    </row>
    <row r="251" spans="2:19" x14ac:dyDescent="0.3">
      <c r="B251">
        <v>69.62</v>
      </c>
      <c r="C251" s="42">
        <f t="shared" si="18"/>
        <v>-5.1576045562491558E-3</v>
      </c>
      <c r="E251" s="41">
        <v>2446.61</v>
      </c>
      <c r="F251" s="28">
        <f t="shared" si="19"/>
        <v>-6.502127128866486E-3</v>
      </c>
      <c r="G251" s="26"/>
      <c r="H251" s="41">
        <v>1530.46</v>
      </c>
      <c r="I251" s="28">
        <f t="shared" si="20"/>
        <v>-6.908636543081775E-3</v>
      </c>
      <c r="J251" s="26"/>
      <c r="K251" s="23"/>
      <c r="L251" s="28"/>
      <c r="M251" s="26"/>
      <c r="N251" s="23">
        <v>1816.01</v>
      </c>
      <c r="O251" s="28"/>
      <c r="P251" s="26"/>
      <c r="Q251" s="23"/>
      <c r="R251" s="28" t="str">
        <f t="shared" si="23"/>
        <v/>
      </c>
      <c r="S251" s="27"/>
    </row>
    <row r="252" spans="2:19" x14ac:dyDescent="0.3">
      <c r="B252">
        <v>69.98</v>
      </c>
      <c r="C252" s="42">
        <f t="shared" si="18"/>
        <v>1.4300016736863417E-3</v>
      </c>
      <c r="E252" s="41">
        <v>2462.5700000000002</v>
      </c>
      <c r="F252" s="28">
        <f t="shared" si="19"/>
        <v>-2.9906826993720177E-2</v>
      </c>
      <c r="G252" s="26"/>
      <c r="H252" s="41">
        <v>1541.07</v>
      </c>
      <c r="I252" s="28">
        <f t="shared" si="20"/>
        <v>-2.1155876039827683E-2</v>
      </c>
      <c r="J252" s="26"/>
      <c r="K252" s="23"/>
      <c r="L252" s="28"/>
      <c r="M252" s="26"/>
      <c r="N252" s="23"/>
      <c r="O252" s="28"/>
      <c r="P252" s="26"/>
      <c r="Q252" s="23"/>
      <c r="R252" s="28" t="str">
        <f t="shared" si="23"/>
        <v/>
      </c>
      <c r="S252" s="27"/>
    </row>
    <row r="253" spans="2:19" x14ac:dyDescent="0.3">
      <c r="B253">
        <v>69.88</v>
      </c>
      <c r="C253" s="42">
        <f t="shared" si="18"/>
        <v>-2.5571782598925088E-2</v>
      </c>
      <c r="E253" s="41">
        <v>2537.33</v>
      </c>
      <c r="F253" s="28">
        <f t="shared" si="19"/>
        <v>-4.5573929949130031E-3</v>
      </c>
      <c r="G253" s="26"/>
      <c r="H253" s="41">
        <v>1574.02</v>
      </c>
      <c r="I253" s="28">
        <f t="shared" si="20"/>
        <v>2.5089446124549119E-2</v>
      </c>
      <c r="J253" s="26"/>
      <c r="K253" s="23"/>
      <c r="L253" s="28"/>
      <c r="M253" s="26"/>
      <c r="N253" s="23"/>
      <c r="O253" s="28"/>
      <c r="P253" s="26"/>
      <c r="Q253" s="23"/>
      <c r="R253" s="28" t="str">
        <f t="shared" si="23"/>
        <v/>
      </c>
      <c r="S253" s="27"/>
    </row>
    <row r="254" spans="2:19" x14ac:dyDescent="0.3">
      <c r="B254">
        <v>71.69</v>
      </c>
      <c r="C254" s="28"/>
      <c r="E254" s="41">
        <v>2548.92</v>
      </c>
      <c r="F254" s="28"/>
      <c r="G254" s="26"/>
      <c r="H254" s="41">
        <v>1535.02</v>
      </c>
      <c r="I254" s="28"/>
      <c r="J254" s="26"/>
      <c r="K254" s="23"/>
      <c r="L254" s="28"/>
      <c r="M254" s="26"/>
      <c r="N254" s="23"/>
      <c r="O254" s="28"/>
      <c r="P254" s="26"/>
      <c r="Q254" s="23"/>
      <c r="R254" s="28" t="str">
        <f t="shared" si="23"/>
        <v/>
      </c>
      <c r="S254" s="27"/>
    </row>
    <row r="255" spans="2:19" x14ac:dyDescent="0.3">
      <c r="C255" s="28"/>
      <c r="F255" s="28"/>
      <c r="G255" s="26"/>
      <c r="H255" s="23"/>
      <c r="I255" s="28"/>
      <c r="J255" s="26"/>
      <c r="K255" s="23"/>
      <c r="L255" s="28"/>
      <c r="O255" s="28"/>
      <c r="P255" s="26"/>
      <c r="Q255" s="23"/>
      <c r="R255" s="28"/>
      <c r="S255" s="27"/>
    </row>
  </sheetData>
  <mergeCells count="6">
    <mergeCell ref="P2:Q2"/>
    <mergeCell ref="A2:B2"/>
    <mergeCell ref="D2:E2"/>
    <mergeCell ref="G2:H2"/>
    <mergeCell ref="J2:K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RENDIMIENTO RIESGO</vt:lpstr>
      <vt:lpstr>datos historicos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moreno reyes</dc:creator>
  <cp:lastModifiedBy>luis david moreno reyes</cp:lastModifiedBy>
  <dcterms:created xsi:type="dcterms:W3CDTF">2025-03-04T00:50:36Z</dcterms:created>
  <dcterms:modified xsi:type="dcterms:W3CDTF">2025-03-22T00:36:01Z</dcterms:modified>
</cp:coreProperties>
</file>