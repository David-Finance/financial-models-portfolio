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pe_pe\OneDrive\Documentos\Finanzas UDL\8vo Cuatrimestre\Estrategias Financieras Empresariales\"/>
    </mc:Choice>
  </mc:AlternateContent>
  <xr:revisionPtr revIDLastSave="0" documentId="8_{42917BAB-2262-4A33-811E-74BF3E0A83C0}" xr6:coauthVersionLast="47" xr6:coauthVersionMax="47" xr10:uidLastSave="{00000000-0000-0000-0000-000000000000}"/>
  <bookViews>
    <workbookView xWindow="-96" yWindow="-96" windowWidth="23232" windowHeight="12432" firstSheet="4" activeTab="1" xr2:uid="{D0B89518-93AB-4D59-9C33-B5A07A18CD8E}"/>
  </bookViews>
  <sheets>
    <sheet name="Tabla de Inversion" sheetId="3" r:id="rId1"/>
    <sheet name="VENTAS" sheetId="1" r:id="rId2"/>
    <sheet name="Flujos" sheetId="2" r:id="rId3"/>
    <sheet name="Estado de Resultados" sheetId="4" r:id="rId4"/>
    <sheet name="Balance" sheetId="7" r:id="rId5"/>
    <sheet name="Punto Equilibrio" sheetId="6" r:id="rId6"/>
    <sheet name="Razones Financieras" sheetId="8" r:id="rId7"/>
    <sheet name="Evaluacion Financiera" sheetId="9" r:id="rId8"/>
  </sheets>
  <externalReferences>
    <externalReference r:id="rId9"/>
  </externalReferences>
  <definedNames>
    <definedName name="_xlnm.Print_Area" localSheetId="2">Flujos!$A$1:$N$121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8" l="1"/>
  <c r="B2" i="9"/>
  <c r="H79" i="7"/>
  <c r="C19" i="9"/>
  <c r="C22" i="9"/>
  <c r="C21" i="9"/>
  <c r="C20" i="9"/>
  <c r="C18" i="9"/>
  <c r="B23" i="9"/>
  <c r="B22" i="9"/>
  <c r="B21" i="9"/>
  <c r="B20" i="9"/>
  <c r="B19" i="9"/>
  <c r="B18" i="9"/>
  <c r="B12" i="9"/>
  <c r="B9" i="9"/>
  <c r="C8" i="9"/>
  <c r="D8" i="9"/>
  <c r="E8" i="9"/>
  <c r="F8" i="9"/>
  <c r="B8" i="9"/>
  <c r="G3" i="9"/>
  <c r="G4" i="9" s="1"/>
  <c r="G5" i="9" s="1"/>
  <c r="F2" i="9"/>
  <c r="E2" i="9"/>
  <c r="D2" i="9"/>
  <c r="C2" i="9"/>
  <c r="I7" i="8" l="1"/>
  <c r="H7" i="8"/>
  <c r="H65" i="7"/>
  <c r="G7" i="8"/>
  <c r="H45" i="7"/>
  <c r="I20" i="8"/>
  <c r="I19" i="8"/>
  <c r="I18" i="8"/>
  <c r="I15" i="8"/>
  <c r="I14" i="8"/>
  <c r="I13" i="8"/>
  <c r="I12" i="8"/>
  <c r="I9" i="8"/>
  <c r="H20" i="8"/>
  <c r="H19" i="8"/>
  <c r="H18" i="8"/>
  <c r="H15" i="8"/>
  <c r="H14" i="8"/>
  <c r="H13" i="8"/>
  <c r="H12" i="8"/>
  <c r="H9" i="8"/>
  <c r="I8" i="8"/>
  <c r="H8" i="8"/>
  <c r="G20" i="8"/>
  <c r="G19" i="8"/>
  <c r="G18" i="8"/>
  <c r="G15" i="8"/>
  <c r="G14" i="8"/>
  <c r="G13" i="8"/>
  <c r="G12" i="8"/>
  <c r="G9" i="8"/>
  <c r="G8" i="8"/>
  <c r="F20" i="8"/>
  <c r="F19" i="8"/>
  <c r="F18" i="8"/>
  <c r="F15" i="8"/>
  <c r="F14" i="8"/>
  <c r="F13" i="8"/>
  <c r="F12" i="8"/>
  <c r="F9" i="8"/>
  <c r="F8" i="8"/>
  <c r="F7" i="8"/>
  <c r="E20" i="8"/>
  <c r="E19" i="8"/>
  <c r="E18" i="8"/>
  <c r="E15" i="8"/>
  <c r="E13" i="8"/>
  <c r="E12" i="8"/>
  <c r="E9" i="8"/>
  <c r="E8" i="8"/>
  <c r="E7" i="8"/>
  <c r="I4" i="8"/>
  <c r="H4" i="8"/>
  <c r="G4" i="8"/>
  <c r="F4" i="8"/>
  <c r="E4" i="8"/>
  <c r="I3" i="8"/>
  <c r="H3" i="8"/>
  <c r="G3" i="8"/>
  <c r="F3" i="8"/>
  <c r="E3" i="8"/>
  <c r="B28" i="6"/>
  <c r="D27" i="6" s="1"/>
  <c r="B22" i="6"/>
  <c r="B16" i="6"/>
  <c r="B10" i="6"/>
  <c r="D21" i="6"/>
  <c r="D15" i="6"/>
  <c r="D9" i="6"/>
  <c r="D3" i="6"/>
  <c r="B4" i="6"/>
  <c r="B87" i="7"/>
  <c r="B86" i="7"/>
  <c r="B84" i="7"/>
  <c r="B82" i="7"/>
  <c r="B80" i="7"/>
  <c r="B78" i="7"/>
  <c r="B77" i="7"/>
  <c r="E76" i="7"/>
  <c r="B76" i="7"/>
  <c r="E75" i="7"/>
  <c r="E80" i="7" s="1"/>
  <c r="B75" i="7"/>
  <c r="B89" i="7" s="1"/>
  <c r="B69" i="7"/>
  <c r="B68" i="7"/>
  <c r="B66" i="7"/>
  <c r="B64" i="7"/>
  <c r="B62" i="7"/>
  <c r="B60" i="7"/>
  <c r="B59" i="7"/>
  <c r="E58" i="7"/>
  <c r="E57" i="7" s="1"/>
  <c r="E62" i="7" s="1"/>
  <c r="B58" i="7"/>
  <c r="B57" i="7"/>
  <c r="B71" i="7" s="1"/>
  <c r="B51" i="7"/>
  <c r="B50" i="7"/>
  <c r="B48" i="7"/>
  <c r="B46" i="7"/>
  <c r="E44" i="7"/>
  <c r="B44" i="7"/>
  <c r="B42" i="7" s="1"/>
  <c r="E41" i="7"/>
  <c r="E59" i="7" s="1"/>
  <c r="E40" i="7"/>
  <c r="B40" i="7"/>
  <c r="E39" i="7"/>
  <c r="B39" i="7"/>
  <c r="B33" i="7"/>
  <c r="B32" i="7"/>
  <c r="B31" i="7"/>
  <c r="E30" i="7"/>
  <c r="E48" i="7" s="1"/>
  <c r="B29" i="7"/>
  <c r="B30" i="7" s="1"/>
  <c r="B27" i="7"/>
  <c r="B28" i="7" s="1"/>
  <c r="B25" i="7"/>
  <c r="B26" i="7" s="1"/>
  <c r="B24" i="7" s="1"/>
  <c r="B35" i="7" s="1"/>
  <c r="E24" i="7"/>
  <c r="E22" i="7"/>
  <c r="B22" i="7"/>
  <c r="E21" i="7"/>
  <c r="E26" i="7" s="1"/>
  <c r="B21" i="7"/>
  <c r="B16" i="7"/>
  <c r="B15" i="7"/>
  <c r="B13" i="7"/>
  <c r="B14" i="7" s="1"/>
  <c r="E12" i="7"/>
  <c r="E10" i="7" s="1"/>
  <c r="E14" i="7" s="1"/>
  <c r="E16" i="7" s="1"/>
  <c r="B11" i="7"/>
  <c r="B12" i="7" s="1"/>
  <c r="B10" i="7"/>
  <c r="B6" i="7" s="1"/>
  <c r="B9" i="7"/>
  <c r="B8" i="7"/>
  <c r="B7" i="7"/>
  <c r="E6" i="7"/>
  <c r="E4" i="7"/>
  <c r="E3" i="7" s="1"/>
  <c r="E8" i="7" s="1"/>
  <c r="B4" i="7"/>
  <c r="B3" i="7" s="1"/>
  <c r="F3" i="4"/>
  <c r="E22" i="4"/>
  <c r="E24" i="4"/>
  <c r="E19" i="4"/>
  <c r="E17" i="4"/>
  <c r="F5" i="4"/>
  <c r="E5" i="4"/>
  <c r="E3" i="4"/>
  <c r="B17" i="7" l="1"/>
  <c r="B53" i="7"/>
  <c r="E46" i="7"/>
  <c r="E50" i="7" s="1"/>
  <c r="E52" i="7" s="1"/>
  <c r="E66" i="7"/>
  <c r="E28" i="7"/>
  <c r="E32" i="7" s="1"/>
  <c r="E34" i="7" s="1"/>
  <c r="E64" i="7" l="1"/>
  <c r="E68" i="7" s="1"/>
  <c r="E70" i="7" s="1"/>
  <c r="E84" i="7"/>
  <c r="E82" i="7" s="1"/>
  <c r="E86" i="7" s="1"/>
  <c r="E88" i="7" s="1"/>
  <c r="D24" i="4" l="1"/>
  <c r="D22" i="4"/>
  <c r="D19" i="4"/>
  <c r="D17" i="4"/>
  <c r="D6" i="4"/>
  <c r="E6" i="4"/>
  <c r="F6" i="4"/>
  <c r="F17" i="4" s="1"/>
  <c r="F19" i="4" s="1"/>
  <c r="F22" i="4" s="1"/>
  <c r="F24" i="4" s="1"/>
  <c r="D5" i="4"/>
  <c r="D3" i="4"/>
  <c r="C24" i="4"/>
  <c r="C22" i="4"/>
  <c r="C19" i="4"/>
  <c r="C17" i="4"/>
  <c r="C6" i="4"/>
  <c r="C5" i="4"/>
  <c r="B24" i="4"/>
  <c r="B22" i="4"/>
  <c r="B19" i="4"/>
  <c r="B17" i="4"/>
  <c r="B6" i="4"/>
  <c r="B5" i="4"/>
  <c r="N120" i="2"/>
  <c r="C101" i="2"/>
  <c r="D101" i="2"/>
  <c r="E101" i="2"/>
  <c r="F101" i="2"/>
  <c r="G101" i="2"/>
  <c r="H101" i="2"/>
  <c r="I101" i="2"/>
  <c r="J101" i="2"/>
  <c r="K101" i="2"/>
  <c r="L101" i="2"/>
  <c r="M101" i="2"/>
  <c r="B101" i="2"/>
  <c r="N119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C75" i="2"/>
  <c r="D75" i="2"/>
  <c r="E75" i="2"/>
  <c r="F75" i="2"/>
  <c r="G75" i="2"/>
  <c r="H75" i="2"/>
  <c r="I75" i="2"/>
  <c r="J75" i="2"/>
  <c r="K75" i="2"/>
  <c r="L75" i="2"/>
  <c r="M75" i="2"/>
  <c r="B75" i="2"/>
  <c r="N93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65" i="2"/>
  <c r="N64" i="2"/>
  <c r="C49" i="2"/>
  <c r="D49" i="2"/>
  <c r="E49" i="2"/>
  <c r="F49" i="2"/>
  <c r="G49" i="2"/>
  <c r="H49" i="2"/>
  <c r="I49" i="2"/>
  <c r="J49" i="2"/>
  <c r="K49" i="2"/>
  <c r="L49" i="2"/>
  <c r="M49" i="2"/>
  <c r="B49" i="2"/>
  <c r="N67" i="2"/>
  <c r="N63" i="2"/>
  <c r="N62" i="2"/>
  <c r="N61" i="2"/>
  <c r="N60" i="2"/>
  <c r="N59" i="2"/>
  <c r="N58" i="2"/>
  <c r="N57" i="2"/>
  <c r="N56" i="2"/>
  <c r="N55" i="2"/>
  <c r="N54" i="2"/>
  <c r="N53" i="2"/>
  <c r="N35" i="2"/>
  <c r="N38" i="2"/>
  <c r="E26" i="2"/>
  <c r="F26" i="2"/>
  <c r="G26" i="2"/>
  <c r="H26" i="2"/>
  <c r="I26" i="2"/>
  <c r="J26" i="2"/>
  <c r="K26" i="2"/>
  <c r="L26" i="2"/>
  <c r="M26" i="2"/>
  <c r="D26" i="2"/>
  <c r="C26" i="2"/>
  <c r="B26" i="2"/>
  <c r="N41" i="2"/>
  <c r="N39" i="2"/>
  <c r="N37" i="2"/>
  <c r="N36" i="2"/>
  <c r="N34" i="2"/>
  <c r="N33" i="2"/>
  <c r="N32" i="2"/>
  <c r="N31" i="2"/>
  <c r="N30" i="2"/>
  <c r="N29" i="2"/>
  <c r="N12" i="2"/>
  <c r="N13" i="2"/>
  <c r="N14" i="2"/>
  <c r="N15" i="2"/>
  <c r="N16" i="2"/>
  <c r="N18" i="2"/>
  <c r="N11" i="2"/>
  <c r="N10" i="2"/>
  <c r="N9" i="2"/>
  <c r="N8" i="2"/>
  <c r="M5" i="2"/>
  <c r="L5" i="2"/>
  <c r="K5" i="2"/>
  <c r="J5" i="2"/>
  <c r="I5" i="2"/>
  <c r="H5" i="2"/>
  <c r="G5" i="2"/>
  <c r="F5" i="2"/>
  <c r="E5" i="2"/>
  <c r="D5" i="2"/>
  <c r="C5" i="2"/>
  <c r="B5" i="2"/>
  <c r="B6" i="2" s="1"/>
  <c r="B17" i="2" s="1"/>
  <c r="O89" i="1"/>
  <c r="O88" i="1"/>
  <c r="O83" i="1"/>
  <c r="N83" i="1"/>
  <c r="M83" i="1"/>
  <c r="L83" i="1"/>
  <c r="K83" i="1"/>
  <c r="J83" i="1"/>
  <c r="I83" i="1"/>
  <c r="H83" i="1"/>
  <c r="G83" i="1"/>
  <c r="F83" i="1"/>
  <c r="E83" i="1"/>
  <c r="E87" i="1"/>
  <c r="F87" i="1"/>
  <c r="G87" i="1"/>
  <c r="H87" i="1"/>
  <c r="I87" i="1"/>
  <c r="J87" i="1"/>
  <c r="K87" i="1"/>
  <c r="L87" i="1"/>
  <c r="M87" i="1"/>
  <c r="N87" i="1"/>
  <c r="O87" i="1"/>
  <c r="D87" i="1"/>
  <c r="E86" i="1"/>
  <c r="F86" i="1"/>
  <c r="G86" i="1"/>
  <c r="H86" i="1"/>
  <c r="I86" i="1"/>
  <c r="J86" i="1"/>
  <c r="K86" i="1"/>
  <c r="L86" i="1"/>
  <c r="M86" i="1"/>
  <c r="N86" i="1"/>
  <c r="O86" i="1"/>
  <c r="O91" i="1" s="1"/>
  <c r="O92" i="1" s="1"/>
  <c r="D86" i="1"/>
  <c r="E85" i="1"/>
  <c r="F85" i="1"/>
  <c r="G85" i="1"/>
  <c r="H85" i="1"/>
  <c r="I85" i="1"/>
  <c r="J85" i="1"/>
  <c r="K85" i="1"/>
  <c r="L85" i="1"/>
  <c r="M85" i="1"/>
  <c r="N85" i="1"/>
  <c r="O85" i="1"/>
  <c r="D85" i="1"/>
  <c r="E84" i="1"/>
  <c r="F84" i="1"/>
  <c r="G84" i="1"/>
  <c r="H84" i="1"/>
  <c r="I84" i="1"/>
  <c r="J84" i="1"/>
  <c r="K84" i="1"/>
  <c r="L84" i="1"/>
  <c r="M84" i="1"/>
  <c r="N84" i="1"/>
  <c r="O84" i="1"/>
  <c r="D84" i="1"/>
  <c r="E82" i="1"/>
  <c r="F82" i="1"/>
  <c r="G82" i="1"/>
  <c r="H82" i="1"/>
  <c r="I82" i="1"/>
  <c r="J82" i="1"/>
  <c r="K82" i="1"/>
  <c r="L82" i="1"/>
  <c r="M82" i="1"/>
  <c r="N82" i="1"/>
  <c r="O82" i="1"/>
  <c r="D82" i="1"/>
  <c r="E81" i="1"/>
  <c r="F81" i="1"/>
  <c r="G81" i="1"/>
  <c r="H81" i="1"/>
  <c r="I81" i="1"/>
  <c r="J81" i="1"/>
  <c r="K81" i="1"/>
  <c r="L81" i="1"/>
  <c r="M81" i="1"/>
  <c r="N81" i="1"/>
  <c r="O81" i="1"/>
  <c r="E80" i="1"/>
  <c r="F80" i="1"/>
  <c r="G80" i="1"/>
  <c r="H80" i="1"/>
  <c r="I80" i="1"/>
  <c r="J80" i="1"/>
  <c r="K80" i="1"/>
  <c r="L80" i="1"/>
  <c r="M80" i="1"/>
  <c r="M88" i="1" s="1"/>
  <c r="N80" i="1"/>
  <c r="O80" i="1"/>
  <c r="D81" i="1"/>
  <c r="D80" i="1"/>
  <c r="E79" i="1"/>
  <c r="F79" i="1"/>
  <c r="G79" i="1"/>
  <c r="H79" i="1"/>
  <c r="I79" i="1"/>
  <c r="J79" i="1"/>
  <c r="K79" i="1"/>
  <c r="L79" i="1"/>
  <c r="M79" i="1"/>
  <c r="N79" i="1"/>
  <c r="O79" i="1"/>
  <c r="D79" i="1"/>
  <c r="E78" i="1"/>
  <c r="F78" i="1"/>
  <c r="G78" i="1"/>
  <c r="H78" i="1"/>
  <c r="I78" i="1"/>
  <c r="J78" i="1"/>
  <c r="K78" i="1"/>
  <c r="L78" i="1"/>
  <c r="M78" i="1"/>
  <c r="N78" i="1"/>
  <c r="O78" i="1"/>
  <c r="D78" i="1"/>
  <c r="B82" i="1"/>
  <c r="D83" i="1"/>
  <c r="B83" i="1"/>
  <c r="O70" i="1"/>
  <c r="E70" i="1"/>
  <c r="F70" i="1"/>
  <c r="G70" i="1"/>
  <c r="H70" i="1"/>
  <c r="I70" i="1"/>
  <c r="J70" i="1"/>
  <c r="K70" i="1"/>
  <c r="K72" i="1" s="1"/>
  <c r="K73" i="1" s="1"/>
  <c r="L70" i="1"/>
  <c r="L72" i="1" s="1"/>
  <c r="L73" i="1" s="1"/>
  <c r="M70" i="1"/>
  <c r="N70" i="1"/>
  <c r="D70" i="1"/>
  <c r="E69" i="1"/>
  <c r="F69" i="1"/>
  <c r="G69" i="1"/>
  <c r="H69" i="1"/>
  <c r="I69" i="1"/>
  <c r="J69" i="1"/>
  <c r="K69" i="1"/>
  <c r="L69" i="1"/>
  <c r="M69" i="1"/>
  <c r="N69" i="1"/>
  <c r="O69" i="1"/>
  <c r="D69" i="1"/>
  <c r="O51" i="1"/>
  <c r="E51" i="1"/>
  <c r="F51" i="1"/>
  <c r="G51" i="1"/>
  <c r="H51" i="1"/>
  <c r="I51" i="1"/>
  <c r="J51" i="1"/>
  <c r="K51" i="1"/>
  <c r="K53" i="1" s="1"/>
  <c r="K54" i="1" s="1"/>
  <c r="L51" i="1"/>
  <c r="L53" i="1" s="1"/>
  <c r="L54" i="1" s="1"/>
  <c r="M51" i="1"/>
  <c r="N51" i="1"/>
  <c r="F53" i="1"/>
  <c r="F54" i="1" s="1"/>
  <c r="G53" i="1"/>
  <c r="G54" i="1" s="1"/>
  <c r="H53" i="1"/>
  <c r="H54" i="1" s="1"/>
  <c r="I53" i="1"/>
  <c r="I54" i="1" s="1"/>
  <c r="J53" i="1"/>
  <c r="J54" i="1" s="1"/>
  <c r="N53" i="1"/>
  <c r="N54" i="1" s="1"/>
  <c r="O53" i="1"/>
  <c r="O54" i="1" s="1"/>
  <c r="D51" i="1"/>
  <c r="E50" i="1"/>
  <c r="F50" i="1"/>
  <c r="G50" i="1"/>
  <c r="H50" i="1"/>
  <c r="I50" i="1"/>
  <c r="J50" i="1"/>
  <c r="K50" i="1"/>
  <c r="L50" i="1"/>
  <c r="M50" i="1"/>
  <c r="N50" i="1"/>
  <c r="O50" i="1"/>
  <c r="D50" i="1"/>
  <c r="E73" i="1"/>
  <c r="M73" i="1"/>
  <c r="E72" i="1"/>
  <c r="F72" i="1"/>
  <c r="F73" i="1" s="1"/>
  <c r="G72" i="1"/>
  <c r="G73" i="1" s="1"/>
  <c r="H72" i="1"/>
  <c r="H73" i="1" s="1"/>
  <c r="I72" i="1"/>
  <c r="I73" i="1" s="1"/>
  <c r="J72" i="1"/>
  <c r="J73" i="1" s="1"/>
  <c r="M72" i="1"/>
  <c r="N72" i="1"/>
  <c r="N73" i="1" s="1"/>
  <c r="O72" i="1"/>
  <c r="O73" i="1" s="1"/>
  <c r="D72" i="1"/>
  <c r="D73" i="1" s="1"/>
  <c r="D54" i="1"/>
  <c r="E53" i="1"/>
  <c r="E54" i="1" s="1"/>
  <c r="M53" i="1"/>
  <c r="M54" i="1" s="1"/>
  <c r="D53" i="1"/>
  <c r="P68" i="1"/>
  <c r="E68" i="1"/>
  <c r="F68" i="1"/>
  <c r="G68" i="1"/>
  <c r="H68" i="1"/>
  <c r="I68" i="1"/>
  <c r="J68" i="1"/>
  <c r="K68" i="1"/>
  <c r="L68" i="1"/>
  <c r="M68" i="1"/>
  <c r="N68" i="1"/>
  <c r="O68" i="1"/>
  <c r="D68" i="1"/>
  <c r="E67" i="1"/>
  <c r="F67" i="1"/>
  <c r="G67" i="1"/>
  <c r="H67" i="1"/>
  <c r="I67" i="1"/>
  <c r="J67" i="1"/>
  <c r="K67" i="1"/>
  <c r="L67" i="1"/>
  <c r="M67" i="1"/>
  <c r="N67" i="1"/>
  <c r="O67" i="1"/>
  <c r="E65" i="1"/>
  <c r="F65" i="1"/>
  <c r="G65" i="1"/>
  <c r="H65" i="1"/>
  <c r="I65" i="1"/>
  <c r="J65" i="1"/>
  <c r="K65" i="1"/>
  <c r="L65" i="1"/>
  <c r="M65" i="1"/>
  <c r="N65" i="1"/>
  <c r="O65" i="1"/>
  <c r="E66" i="1"/>
  <c r="F66" i="1"/>
  <c r="G66" i="1"/>
  <c r="H66" i="1"/>
  <c r="I66" i="1"/>
  <c r="J66" i="1"/>
  <c r="K66" i="1"/>
  <c r="L66" i="1"/>
  <c r="M66" i="1"/>
  <c r="N66" i="1"/>
  <c r="O66" i="1"/>
  <c r="P49" i="1"/>
  <c r="E49" i="1"/>
  <c r="F49" i="1"/>
  <c r="G49" i="1"/>
  <c r="H49" i="1"/>
  <c r="I49" i="1"/>
  <c r="J49" i="1"/>
  <c r="K49" i="1"/>
  <c r="L49" i="1"/>
  <c r="M49" i="1"/>
  <c r="N49" i="1"/>
  <c r="O49" i="1"/>
  <c r="D49" i="1"/>
  <c r="D67" i="1"/>
  <c r="D66" i="1"/>
  <c r="D65" i="1"/>
  <c r="O64" i="1"/>
  <c r="N64" i="1"/>
  <c r="M64" i="1"/>
  <c r="L64" i="1"/>
  <c r="K64" i="1"/>
  <c r="J64" i="1"/>
  <c r="I64" i="1"/>
  <c r="H64" i="1"/>
  <c r="G64" i="1"/>
  <c r="F64" i="1"/>
  <c r="E64" i="1"/>
  <c r="E63" i="1"/>
  <c r="F63" i="1"/>
  <c r="G63" i="1"/>
  <c r="H63" i="1"/>
  <c r="I63" i="1"/>
  <c r="J63" i="1"/>
  <c r="K63" i="1"/>
  <c r="L63" i="1"/>
  <c r="M63" i="1"/>
  <c r="N63" i="1"/>
  <c r="O63" i="1"/>
  <c r="E62" i="1"/>
  <c r="F62" i="1"/>
  <c r="G62" i="1"/>
  <c r="H62" i="1"/>
  <c r="I62" i="1"/>
  <c r="J62" i="1"/>
  <c r="K62" i="1"/>
  <c r="L62" i="1"/>
  <c r="M62" i="1"/>
  <c r="N62" i="1"/>
  <c r="O62" i="1"/>
  <c r="E61" i="1"/>
  <c r="F61" i="1"/>
  <c r="G61" i="1"/>
  <c r="H61" i="1"/>
  <c r="I61" i="1"/>
  <c r="J61" i="1"/>
  <c r="K61" i="1"/>
  <c r="L61" i="1"/>
  <c r="M61" i="1"/>
  <c r="N61" i="1"/>
  <c r="O61" i="1"/>
  <c r="D63" i="1"/>
  <c r="D62" i="1"/>
  <c r="P62" i="1" s="1"/>
  <c r="D61" i="1"/>
  <c r="D64" i="1"/>
  <c r="E60" i="1"/>
  <c r="F60" i="1"/>
  <c r="G60" i="1"/>
  <c r="H60" i="1"/>
  <c r="I60" i="1"/>
  <c r="J60" i="1"/>
  <c r="K60" i="1"/>
  <c r="L60" i="1"/>
  <c r="M60" i="1"/>
  <c r="N60" i="1"/>
  <c r="O60" i="1"/>
  <c r="D60" i="1"/>
  <c r="E59" i="1"/>
  <c r="F59" i="1"/>
  <c r="G59" i="1"/>
  <c r="H59" i="1"/>
  <c r="I59" i="1"/>
  <c r="J59" i="1"/>
  <c r="K59" i="1"/>
  <c r="L59" i="1"/>
  <c r="M59" i="1"/>
  <c r="N59" i="1"/>
  <c r="O59" i="1"/>
  <c r="D59" i="1"/>
  <c r="B64" i="1"/>
  <c r="B63" i="1"/>
  <c r="E48" i="1"/>
  <c r="F48" i="1"/>
  <c r="G48" i="1"/>
  <c r="H48" i="1"/>
  <c r="I48" i="1"/>
  <c r="J48" i="1"/>
  <c r="K48" i="1"/>
  <c r="L48" i="1"/>
  <c r="M48" i="1"/>
  <c r="N48" i="1"/>
  <c r="O48" i="1"/>
  <c r="D48" i="1"/>
  <c r="E47" i="1"/>
  <c r="F47" i="1"/>
  <c r="G47" i="1"/>
  <c r="H47" i="1"/>
  <c r="I47" i="1"/>
  <c r="J47" i="1"/>
  <c r="P47" i="1" s="1"/>
  <c r="K47" i="1"/>
  <c r="L47" i="1"/>
  <c r="M47" i="1"/>
  <c r="N47" i="1"/>
  <c r="O47" i="1"/>
  <c r="D47" i="1"/>
  <c r="E46" i="1"/>
  <c r="F46" i="1"/>
  <c r="G46" i="1"/>
  <c r="H46" i="1"/>
  <c r="I46" i="1"/>
  <c r="J46" i="1"/>
  <c r="K46" i="1"/>
  <c r="L46" i="1"/>
  <c r="M46" i="1"/>
  <c r="N46" i="1"/>
  <c r="O46" i="1"/>
  <c r="D46" i="1"/>
  <c r="H44" i="1"/>
  <c r="I45" i="1" s="1"/>
  <c r="I44" i="1"/>
  <c r="J45" i="1" s="1"/>
  <c r="D44" i="1"/>
  <c r="E45" i="1" s="1"/>
  <c r="E43" i="1"/>
  <c r="F43" i="1"/>
  <c r="G43" i="1"/>
  <c r="H43" i="1"/>
  <c r="I43" i="1"/>
  <c r="J43" i="1"/>
  <c r="K43" i="1"/>
  <c r="L43" i="1"/>
  <c r="M43" i="1"/>
  <c r="N43" i="1"/>
  <c r="O43" i="1"/>
  <c r="D43" i="1"/>
  <c r="E42" i="1"/>
  <c r="F42" i="1"/>
  <c r="G42" i="1"/>
  <c r="H42" i="1"/>
  <c r="I42" i="1"/>
  <c r="J42" i="1"/>
  <c r="K42" i="1"/>
  <c r="L42" i="1"/>
  <c r="M42" i="1"/>
  <c r="N42" i="1"/>
  <c r="O42" i="1"/>
  <c r="D42" i="1"/>
  <c r="E41" i="1"/>
  <c r="F41" i="1"/>
  <c r="G41" i="1"/>
  <c r="H41" i="1"/>
  <c r="I41" i="1"/>
  <c r="J41" i="1"/>
  <c r="K41" i="1"/>
  <c r="L41" i="1"/>
  <c r="M41" i="1"/>
  <c r="N41" i="1"/>
  <c r="O41" i="1"/>
  <c r="D41" i="1"/>
  <c r="E40" i="1"/>
  <c r="F40" i="1"/>
  <c r="G40" i="1"/>
  <c r="H40" i="1"/>
  <c r="I40" i="1"/>
  <c r="J40" i="1"/>
  <c r="K40" i="1"/>
  <c r="L40" i="1"/>
  <c r="M40" i="1"/>
  <c r="N40" i="1"/>
  <c r="O40" i="1"/>
  <c r="D40" i="1"/>
  <c r="E13" i="1"/>
  <c r="F13" i="1"/>
  <c r="G13" i="1"/>
  <c r="H13" i="1"/>
  <c r="I13" i="1"/>
  <c r="J13" i="1"/>
  <c r="K13" i="1"/>
  <c r="L13" i="1"/>
  <c r="M13" i="1"/>
  <c r="N13" i="1"/>
  <c r="O13" i="1"/>
  <c r="D13" i="1"/>
  <c r="E31" i="1"/>
  <c r="F31" i="1"/>
  <c r="G31" i="1"/>
  <c r="H31" i="1"/>
  <c r="I31" i="1"/>
  <c r="J31" i="1"/>
  <c r="K31" i="1"/>
  <c r="L31" i="1"/>
  <c r="M31" i="1"/>
  <c r="N31" i="1"/>
  <c r="O31" i="1"/>
  <c r="D31" i="1"/>
  <c r="B44" i="1"/>
  <c r="J44" i="1" s="1"/>
  <c r="P34" i="1"/>
  <c r="P35" i="1"/>
  <c r="E35" i="1"/>
  <c r="F35" i="1"/>
  <c r="G35" i="1"/>
  <c r="H35" i="1"/>
  <c r="I35" i="1"/>
  <c r="J35" i="1"/>
  <c r="K35" i="1"/>
  <c r="L35" i="1"/>
  <c r="M35" i="1"/>
  <c r="N35" i="1"/>
  <c r="O35" i="1"/>
  <c r="D35" i="1"/>
  <c r="E34" i="1"/>
  <c r="F34" i="1"/>
  <c r="G34" i="1"/>
  <c r="H34" i="1"/>
  <c r="I34" i="1"/>
  <c r="J34" i="1"/>
  <c r="K34" i="1"/>
  <c r="L34" i="1"/>
  <c r="M34" i="1"/>
  <c r="N34" i="1"/>
  <c r="O34" i="1"/>
  <c r="D34" i="1"/>
  <c r="O32" i="1"/>
  <c r="D45" i="1"/>
  <c r="O30" i="1"/>
  <c r="N30" i="1"/>
  <c r="M30" i="1"/>
  <c r="L30" i="1"/>
  <c r="K30" i="1"/>
  <c r="J30" i="1"/>
  <c r="I30" i="1"/>
  <c r="H30" i="1"/>
  <c r="G30" i="1"/>
  <c r="F30" i="1"/>
  <c r="E30" i="1"/>
  <c r="D30" i="1"/>
  <c r="P30" i="1" s="1"/>
  <c r="O29" i="1"/>
  <c r="N29" i="1"/>
  <c r="M29" i="1"/>
  <c r="L29" i="1"/>
  <c r="K29" i="1"/>
  <c r="J29" i="1"/>
  <c r="I29" i="1"/>
  <c r="H29" i="1"/>
  <c r="G29" i="1"/>
  <c r="P29" i="1" s="1"/>
  <c r="F29" i="1"/>
  <c r="E29" i="1"/>
  <c r="D29" i="1"/>
  <c r="N28" i="1"/>
  <c r="M28" i="1"/>
  <c r="L28" i="1"/>
  <c r="K28" i="1"/>
  <c r="J28" i="1"/>
  <c r="I28" i="1"/>
  <c r="H28" i="1"/>
  <c r="G28" i="1"/>
  <c r="F28" i="1"/>
  <c r="D28" i="1"/>
  <c r="N27" i="1"/>
  <c r="M27" i="1"/>
  <c r="F27" i="1"/>
  <c r="E27" i="1"/>
  <c r="O26" i="1"/>
  <c r="M26" i="1"/>
  <c r="L26" i="1"/>
  <c r="K26" i="1"/>
  <c r="L27" i="1" s="1"/>
  <c r="J26" i="1"/>
  <c r="K27" i="1" s="1"/>
  <c r="H26" i="1"/>
  <c r="I27" i="1" s="1"/>
  <c r="G26" i="1"/>
  <c r="H27" i="1" s="1"/>
  <c r="F26" i="1"/>
  <c r="G27" i="1" s="1"/>
  <c r="E26" i="1"/>
  <c r="D26" i="1"/>
  <c r="O25" i="1"/>
  <c r="N25" i="1"/>
  <c r="M25" i="1"/>
  <c r="L25" i="1"/>
  <c r="K25" i="1"/>
  <c r="J25" i="1"/>
  <c r="I25" i="1"/>
  <c r="H25" i="1"/>
  <c r="G25" i="1"/>
  <c r="F25" i="1"/>
  <c r="E25" i="1"/>
  <c r="D25" i="1"/>
  <c r="O24" i="1"/>
  <c r="N24" i="1"/>
  <c r="M24" i="1"/>
  <c r="L24" i="1"/>
  <c r="K24" i="1"/>
  <c r="J24" i="1"/>
  <c r="I24" i="1"/>
  <c r="H24" i="1"/>
  <c r="G24" i="1"/>
  <c r="F24" i="1"/>
  <c r="E24" i="1"/>
  <c r="D24" i="1"/>
  <c r="O23" i="1"/>
  <c r="N23" i="1"/>
  <c r="M23" i="1"/>
  <c r="L23" i="1"/>
  <c r="K23" i="1"/>
  <c r="J23" i="1"/>
  <c r="I23" i="1"/>
  <c r="H23" i="1"/>
  <c r="G23" i="1"/>
  <c r="F23" i="1"/>
  <c r="E23" i="1"/>
  <c r="D23" i="1"/>
  <c r="O22" i="1"/>
  <c r="N22" i="1"/>
  <c r="M22" i="1"/>
  <c r="L22" i="1"/>
  <c r="K22" i="1"/>
  <c r="J22" i="1"/>
  <c r="I22" i="1"/>
  <c r="H22" i="1"/>
  <c r="G22" i="1"/>
  <c r="F22" i="1"/>
  <c r="E22" i="1"/>
  <c r="E28" i="1"/>
  <c r="O28" i="1"/>
  <c r="I26" i="1"/>
  <c r="J27" i="1" s="1"/>
  <c r="N26" i="1"/>
  <c r="O27" i="1" s="1"/>
  <c r="D22" i="1"/>
  <c r="O12" i="1"/>
  <c r="N12" i="1"/>
  <c r="M12" i="1"/>
  <c r="L12" i="1"/>
  <c r="K12" i="1"/>
  <c r="I12" i="1"/>
  <c r="H12" i="1"/>
  <c r="G12" i="1"/>
  <c r="F12" i="1"/>
  <c r="E12" i="1"/>
  <c r="D12" i="1"/>
  <c r="P12" i="1" s="1"/>
  <c r="J12" i="1"/>
  <c r="O11" i="1"/>
  <c r="N11" i="1"/>
  <c r="M11" i="1"/>
  <c r="L11" i="1"/>
  <c r="K11" i="1"/>
  <c r="J11" i="1"/>
  <c r="I11" i="1"/>
  <c r="H11" i="1"/>
  <c r="G11" i="1"/>
  <c r="F11" i="1"/>
  <c r="E11" i="1"/>
  <c r="D11" i="1"/>
  <c r="O10" i="1"/>
  <c r="N10" i="1"/>
  <c r="M10" i="1"/>
  <c r="L10" i="1"/>
  <c r="K10" i="1"/>
  <c r="J10" i="1"/>
  <c r="I10" i="1"/>
  <c r="H10" i="1"/>
  <c r="G10" i="1"/>
  <c r="F10" i="1"/>
  <c r="E10" i="1"/>
  <c r="D10" i="1"/>
  <c r="M9" i="1"/>
  <c r="L9" i="1"/>
  <c r="J9" i="1"/>
  <c r="E9" i="1"/>
  <c r="O8" i="1"/>
  <c r="D27" i="1" s="1"/>
  <c r="N8" i="1"/>
  <c r="O9" i="1" s="1"/>
  <c r="M8" i="1"/>
  <c r="P8" i="1" s="1"/>
  <c r="L8" i="1"/>
  <c r="K8" i="1"/>
  <c r="I8" i="1"/>
  <c r="H8" i="1"/>
  <c r="I9" i="1" s="1"/>
  <c r="G8" i="1"/>
  <c r="H9" i="1" s="1"/>
  <c r="F8" i="1"/>
  <c r="G9" i="1" s="1"/>
  <c r="F14" i="1" s="1"/>
  <c r="F16" i="1" s="1"/>
  <c r="F17" i="1" s="1"/>
  <c r="E8" i="1"/>
  <c r="F9" i="1" s="1"/>
  <c r="J8" i="1"/>
  <c r="K9" i="1" s="1"/>
  <c r="D8" i="1"/>
  <c r="O7" i="1"/>
  <c r="N7" i="1"/>
  <c r="M7" i="1"/>
  <c r="L7" i="1"/>
  <c r="K7" i="1"/>
  <c r="J7" i="1"/>
  <c r="I7" i="1"/>
  <c r="H7" i="1"/>
  <c r="G7" i="1"/>
  <c r="F7" i="1"/>
  <c r="E7" i="1"/>
  <c r="D7" i="1"/>
  <c r="O6" i="1"/>
  <c r="N6" i="1"/>
  <c r="M6" i="1"/>
  <c r="L6" i="1"/>
  <c r="K6" i="1"/>
  <c r="J6" i="1"/>
  <c r="I6" i="1"/>
  <c r="H6" i="1"/>
  <c r="G6" i="1"/>
  <c r="F6" i="1"/>
  <c r="E6" i="1"/>
  <c r="D6" i="1"/>
  <c r="P6" i="1" s="1"/>
  <c r="O5" i="1"/>
  <c r="N5" i="1"/>
  <c r="M5" i="1"/>
  <c r="L5" i="1"/>
  <c r="K5" i="1"/>
  <c r="K14" i="1" s="1"/>
  <c r="J5" i="1"/>
  <c r="J14" i="1" s="1"/>
  <c r="J16" i="1" s="1"/>
  <c r="J17" i="1" s="1"/>
  <c r="I5" i="1"/>
  <c r="H5" i="1"/>
  <c r="G5" i="1"/>
  <c r="P5" i="1" s="1"/>
  <c r="F5" i="1"/>
  <c r="E5" i="1"/>
  <c r="D5" i="1"/>
  <c r="O4" i="1"/>
  <c r="N4" i="1"/>
  <c r="M4" i="1"/>
  <c r="L4" i="1"/>
  <c r="K4" i="1"/>
  <c r="J4" i="1"/>
  <c r="I4" i="1"/>
  <c r="I14" i="1" s="1"/>
  <c r="I16" i="1" s="1"/>
  <c r="I17" i="1" s="1"/>
  <c r="H4" i="1"/>
  <c r="G4" i="1"/>
  <c r="F4" i="1"/>
  <c r="E4" i="1"/>
  <c r="E14" i="1" s="1"/>
  <c r="E16" i="1" s="1"/>
  <c r="E17" i="1" s="1"/>
  <c r="D4" i="1"/>
  <c r="P4" i="1" s="1"/>
  <c r="N101" i="2" l="1"/>
  <c r="N103" i="2" s="1"/>
  <c r="N75" i="2"/>
  <c r="N77" i="2" s="1"/>
  <c r="N49" i="2"/>
  <c r="N51" i="2" s="1"/>
  <c r="N66" i="2" s="1"/>
  <c r="N5" i="2"/>
  <c r="B19" i="2"/>
  <c r="C3" i="2" s="1"/>
  <c r="N26" i="2"/>
  <c r="P85" i="1"/>
  <c r="N88" i="1"/>
  <c r="G89" i="1"/>
  <c r="G91" i="1" s="1"/>
  <c r="G92" i="1" s="1"/>
  <c r="P81" i="1"/>
  <c r="F88" i="1"/>
  <c r="M89" i="1"/>
  <c r="M91" i="1" s="1"/>
  <c r="M92" i="1" s="1"/>
  <c r="E89" i="1"/>
  <c r="E91" i="1" s="1"/>
  <c r="E92" i="1" s="1"/>
  <c r="P87" i="1"/>
  <c r="P86" i="1"/>
  <c r="P84" i="1"/>
  <c r="H88" i="1"/>
  <c r="I89" i="1"/>
  <c r="I91" i="1" s="1"/>
  <c r="I92" i="1" s="1"/>
  <c r="I88" i="1"/>
  <c r="P80" i="1"/>
  <c r="H89" i="1"/>
  <c r="H91" i="1" s="1"/>
  <c r="H92" i="1" s="1"/>
  <c r="D89" i="1"/>
  <c r="L88" i="1"/>
  <c r="K88" i="1"/>
  <c r="J89" i="1"/>
  <c r="J91" i="1" s="1"/>
  <c r="J92" i="1" s="1"/>
  <c r="P79" i="1"/>
  <c r="D88" i="1"/>
  <c r="G88" i="1"/>
  <c r="J88" i="1"/>
  <c r="E88" i="1"/>
  <c r="P83" i="1"/>
  <c r="K89" i="1"/>
  <c r="K91" i="1" s="1"/>
  <c r="K92" i="1" s="1"/>
  <c r="P82" i="1"/>
  <c r="L89" i="1"/>
  <c r="L91" i="1" s="1"/>
  <c r="L92" i="1" s="1"/>
  <c r="F89" i="1"/>
  <c r="F91" i="1" s="1"/>
  <c r="F92" i="1" s="1"/>
  <c r="N89" i="1"/>
  <c r="N91" i="1" s="1"/>
  <c r="N92" i="1" s="1"/>
  <c r="P78" i="1"/>
  <c r="P73" i="1"/>
  <c r="P72" i="1"/>
  <c r="P54" i="1"/>
  <c r="P53" i="1"/>
  <c r="P67" i="1"/>
  <c r="P65" i="1"/>
  <c r="P66" i="1"/>
  <c r="P64" i="1"/>
  <c r="P61" i="1"/>
  <c r="P60" i="1"/>
  <c r="P63" i="1"/>
  <c r="P59" i="1"/>
  <c r="K45" i="1"/>
  <c r="O44" i="1"/>
  <c r="G44" i="1"/>
  <c r="H45" i="1" s="1"/>
  <c r="B45" i="1"/>
  <c r="N44" i="1"/>
  <c r="O45" i="1" s="1"/>
  <c r="F44" i="1"/>
  <c r="P44" i="1"/>
  <c r="M44" i="1"/>
  <c r="E44" i="1"/>
  <c r="F45" i="1" s="1"/>
  <c r="L44" i="1"/>
  <c r="M45" i="1" s="1"/>
  <c r="K44" i="1"/>
  <c r="L45" i="1" s="1"/>
  <c r="L32" i="1"/>
  <c r="G32" i="1"/>
  <c r="M32" i="1"/>
  <c r="I32" i="1"/>
  <c r="H32" i="1"/>
  <c r="E32" i="1"/>
  <c r="O14" i="1"/>
  <c r="O16" i="1" s="1"/>
  <c r="O17" i="1" s="1"/>
  <c r="K16" i="1"/>
  <c r="K17" i="1" s="1"/>
  <c r="J32" i="1"/>
  <c r="H14" i="1"/>
  <c r="H16" i="1" s="1"/>
  <c r="H17" i="1" s="1"/>
  <c r="K32" i="1"/>
  <c r="D14" i="1"/>
  <c r="D16" i="1" s="1"/>
  <c r="P23" i="1"/>
  <c r="D32" i="1"/>
  <c r="M14" i="1"/>
  <c r="M16" i="1" s="1"/>
  <c r="M17" i="1" s="1"/>
  <c r="L14" i="1"/>
  <c r="L16" i="1" s="1"/>
  <c r="L17" i="1" s="1"/>
  <c r="N32" i="1"/>
  <c r="N9" i="1"/>
  <c r="P9" i="1" s="1"/>
  <c r="P48" i="1"/>
  <c r="P11" i="1"/>
  <c r="P42" i="1"/>
  <c r="G14" i="1"/>
  <c r="G16" i="1" s="1"/>
  <c r="G17" i="1" s="1"/>
  <c r="N14" i="1"/>
  <c r="N16" i="1" s="1"/>
  <c r="N17" i="1" s="1"/>
  <c r="P43" i="1"/>
  <c r="P28" i="1"/>
  <c r="F32" i="1"/>
  <c r="P41" i="1"/>
  <c r="P46" i="1"/>
  <c r="P40" i="1"/>
  <c r="P25" i="1"/>
  <c r="P27" i="1"/>
  <c r="P24" i="1"/>
  <c r="P26" i="1"/>
  <c r="P22" i="1"/>
  <c r="P10" i="1"/>
  <c r="P7" i="1"/>
  <c r="C6" i="2" l="1"/>
  <c r="P88" i="1"/>
  <c r="D91" i="1"/>
  <c r="P89" i="1"/>
  <c r="P69" i="1"/>
  <c r="P70" i="1"/>
  <c r="G45" i="1"/>
  <c r="N45" i="1"/>
  <c r="D17" i="1"/>
  <c r="P17" i="1" s="1"/>
  <c r="P16" i="1"/>
  <c r="P14" i="1"/>
  <c r="P13" i="1"/>
  <c r="P31" i="1"/>
  <c r="P32" i="1"/>
  <c r="C17" i="2" l="1"/>
  <c r="P91" i="1"/>
  <c r="D92" i="1"/>
  <c r="P92" i="1" s="1"/>
  <c r="P51" i="1"/>
  <c r="P45" i="1"/>
  <c r="P50" i="1"/>
  <c r="C19" i="2" l="1"/>
  <c r="D3" i="2" s="1"/>
  <c r="D6" i="2" l="1"/>
  <c r="D17" i="2" l="1"/>
  <c r="D19" i="2" l="1"/>
  <c r="E3" i="2" s="1"/>
  <c r="E6" i="2" l="1"/>
  <c r="E17" i="2" l="1"/>
  <c r="E19" i="2" l="1"/>
  <c r="F3" i="2" s="1"/>
  <c r="F6" i="2" l="1"/>
  <c r="F17" i="2" l="1"/>
  <c r="F19" i="2" l="1"/>
  <c r="G3" i="2" s="1"/>
  <c r="G6" i="2" l="1"/>
  <c r="G17" i="2" l="1"/>
  <c r="G19" i="2" s="1"/>
  <c r="H3" i="2" s="1"/>
  <c r="H6" i="2" s="1"/>
  <c r="H17" i="2" s="1"/>
  <c r="H19" i="2" s="1"/>
  <c r="I3" i="2" s="1"/>
  <c r="I6" i="2" s="1"/>
  <c r="I17" i="2" s="1"/>
  <c r="I19" i="2" s="1"/>
  <c r="J3" i="2" s="1"/>
  <c r="J6" i="2" s="1"/>
  <c r="J17" i="2" s="1"/>
  <c r="J19" i="2" s="1"/>
  <c r="K3" i="2" s="1"/>
  <c r="K6" i="2" s="1"/>
  <c r="K17" i="2" s="1"/>
  <c r="K19" i="2" s="1"/>
  <c r="L3" i="2" s="1"/>
  <c r="L6" i="2" s="1"/>
  <c r="L17" i="2" s="1"/>
  <c r="L19" i="2" s="1"/>
  <c r="M3" i="2" s="1"/>
  <c r="M6" i="2" l="1"/>
  <c r="N3" i="2"/>
  <c r="M17" i="2" l="1"/>
  <c r="N6" i="2"/>
  <c r="N19" i="2" s="1"/>
  <c r="M19" i="2" l="1"/>
  <c r="B24" i="2" s="1"/>
  <c r="N17" i="2"/>
  <c r="B27" i="2" l="1"/>
  <c r="B40" i="2" s="1"/>
  <c r="B42" i="2" l="1"/>
  <c r="C24" i="2" l="1"/>
  <c r="C27" i="2"/>
  <c r="C40" i="2" s="1"/>
  <c r="C42" i="2" l="1"/>
  <c r="D24" i="2" l="1"/>
  <c r="D27" i="2" s="1"/>
  <c r="D40" i="2" s="1"/>
  <c r="D42" i="2" l="1"/>
  <c r="E24" i="2" l="1"/>
  <c r="E27" i="2"/>
  <c r="E40" i="2" s="1"/>
  <c r="E42" i="2" l="1"/>
  <c r="F24" i="2" l="1"/>
  <c r="F27" i="2"/>
  <c r="F40" i="2" s="1"/>
  <c r="F42" i="2" l="1"/>
  <c r="G24" i="2" l="1"/>
  <c r="G27" i="2" s="1"/>
  <c r="G40" i="2" s="1"/>
  <c r="G42" i="2" s="1"/>
  <c r="H24" i="2" s="1"/>
  <c r="H27" i="2" l="1"/>
  <c r="H40" i="2" l="1"/>
  <c r="H42" i="2" s="1"/>
  <c r="I24" i="2" s="1"/>
  <c r="I27" i="2" l="1"/>
  <c r="I40" i="2" l="1"/>
  <c r="I42" i="2" l="1"/>
  <c r="J24" i="2" s="1"/>
  <c r="J27" i="2" l="1"/>
  <c r="J40" i="2" l="1"/>
  <c r="J42" i="2" l="1"/>
  <c r="K24" i="2" s="1"/>
  <c r="K27" i="2" l="1"/>
  <c r="K40" i="2" l="1"/>
  <c r="K42" i="2" l="1"/>
  <c r="L24" i="2" s="1"/>
  <c r="L27" i="2" l="1"/>
  <c r="L40" i="2" l="1"/>
  <c r="L42" i="2" s="1"/>
  <c r="M24" i="2" s="1"/>
  <c r="M27" i="2" l="1"/>
  <c r="N24" i="2"/>
  <c r="M40" i="2" l="1"/>
  <c r="N27" i="2"/>
  <c r="M42" i="2" l="1"/>
  <c r="B47" i="2" s="1"/>
  <c r="N40" i="2"/>
  <c r="B51" i="2" l="1"/>
  <c r="B66" i="2" s="1"/>
  <c r="N42" i="2"/>
  <c r="B68" i="2" l="1"/>
  <c r="C47" i="2" s="1"/>
  <c r="C51" i="2" l="1"/>
  <c r="C66" i="2" s="1"/>
  <c r="C68" i="2" l="1"/>
  <c r="D47" i="2" s="1"/>
  <c r="D51" i="2" l="1"/>
  <c r="D66" i="2" s="1"/>
  <c r="D68" i="2" l="1"/>
  <c r="E47" i="2" s="1"/>
  <c r="E51" i="2" l="1"/>
  <c r="E66" i="2" s="1"/>
  <c r="E68" i="2" l="1"/>
  <c r="F47" i="2" s="1"/>
  <c r="F51" i="2" l="1"/>
  <c r="F66" i="2" s="1"/>
  <c r="F68" i="2" l="1"/>
  <c r="G47" i="2" s="1"/>
  <c r="G51" i="2" s="1"/>
  <c r="G66" i="2" l="1"/>
  <c r="G68" i="2" s="1"/>
  <c r="H47" i="2" s="1"/>
  <c r="H51" i="2" l="1"/>
  <c r="H66" i="2" l="1"/>
  <c r="H68" i="2" s="1"/>
  <c r="I47" i="2" s="1"/>
  <c r="I51" i="2" l="1"/>
  <c r="I66" i="2" l="1"/>
  <c r="I68" i="2" l="1"/>
  <c r="J47" i="2" s="1"/>
  <c r="J51" i="2" l="1"/>
  <c r="J66" i="2" l="1"/>
  <c r="J68" i="2" l="1"/>
  <c r="K47" i="2" s="1"/>
  <c r="K51" i="2" l="1"/>
  <c r="K66" i="2" l="1"/>
  <c r="K68" i="2" s="1"/>
  <c r="L47" i="2" s="1"/>
  <c r="L51" i="2" l="1"/>
  <c r="L66" i="2" l="1"/>
  <c r="L68" i="2" s="1"/>
  <c r="M47" i="2" s="1"/>
  <c r="M51" i="2" l="1"/>
  <c r="N47" i="2"/>
  <c r="M66" i="2" l="1"/>
  <c r="M68" i="2" l="1"/>
  <c r="N68" i="2" l="1"/>
  <c r="B73" i="2"/>
  <c r="B77" i="2" l="1"/>
  <c r="B92" i="2" s="1"/>
  <c r="B94" i="2" l="1"/>
  <c r="C73" i="2" s="1"/>
  <c r="C77" i="2" l="1"/>
  <c r="C92" i="2" s="1"/>
  <c r="C94" i="2" l="1"/>
  <c r="D73" i="2" s="1"/>
  <c r="D77" i="2" l="1"/>
  <c r="D92" i="2" s="1"/>
  <c r="D94" i="2" l="1"/>
  <c r="E73" i="2" s="1"/>
  <c r="E77" i="2" l="1"/>
  <c r="E92" i="2" s="1"/>
  <c r="E94" i="2" l="1"/>
  <c r="F73" i="2" s="1"/>
  <c r="F77" i="2" l="1"/>
  <c r="F92" i="2" s="1"/>
  <c r="F94" i="2" l="1"/>
  <c r="G73" i="2" s="1"/>
  <c r="G77" i="2" s="1"/>
  <c r="G92" i="2" s="1"/>
  <c r="G94" i="2" s="1"/>
  <c r="H73" i="2" s="1"/>
  <c r="H77" i="2" s="1"/>
  <c r="H92" i="2" s="1"/>
  <c r="H94" i="2" s="1"/>
  <c r="I73" i="2" s="1"/>
  <c r="I77" i="2" s="1"/>
  <c r="I92" i="2" s="1"/>
  <c r="I94" i="2" s="1"/>
  <c r="J73" i="2" s="1"/>
  <c r="J77" i="2" s="1"/>
  <c r="J92" i="2" s="1"/>
  <c r="J94" i="2" s="1"/>
  <c r="K73" i="2" s="1"/>
  <c r="K77" i="2" s="1"/>
  <c r="K92" i="2" s="1"/>
  <c r="K94" i="2" s="1"/>
  <c r="L73" i="2" s="1"/>
  <c r="L77" i="2" s="1"/>
  <c r="L92" i="2" s="1"/>
  <c r="L94" i="2" s="1"/>
  <c r="M73" i="2" s="1"/>
  <c r="M77" i="2" l="1"/>
  <c r="M92" i="2" s="1"/>
  <c r="N73" i="2"/>
  <c r="M94" i="2" l="1"/>
  <c r="N92" i="2"/>
  <c r="N94" i="2" l="1"/>
  <c r="B99" i="2"/>
  <c r="B103" i="2" l="1"/>
  <c r="B118" i="2" s="1"/>
  <c r="B120" i="2" l="1"/>
  <c r="C99" i="2" s="1"/>
  <c r="C103" i="2" l="1"/>
  <c r="C118" i="2" s="1"/>
  <c r="C120" i="2" l="1"/>
  <c r="D99" i="2" s="1"/>
  <c r="D103" i="2" l="1"/>
  <c r="D118" i="2" s="1"/>
  <c r="D120" i="2" l="1"/>
  <c r="E99" i="2" s="1"/>
  <c r="E103" i="2" l="1"/>
  <c r="E118" i="2" s="1"/>
  <c r="E120" i="2" l="1"/>
  <c r="F99" i="2" s="1"/>
  <c r="F103" i="2" l="1"/>
  <c r="F118" i="2" s="1"/>
  <c r="F120" i="2" l="1"/>
  <c r="G99" i="2" s="1"/>
  <c r="G103" i="2" l="1"/>
  <c r="G118" i="2" s="1"/>
  <c r="G120" i="2" l="1"/>
  <c r="H99" i="2" s="1"/>
  <c r="H103" i="2" l="1"/>
  <c r="H118" i="2" s="1"/>
  <c r="H120" i="2" s="1"/>
  <c r="I99" i="2" s="1"/>
  <c r="I103" i="2" s="1"/>
  <c r="I118" i="2" s="1"/>
  <c r="I120" i="2" s="1"/>
  <c r="J99" i="2" s="1"/>
  <c r="J103" i="2" s="1"/>
  <c r="J118" i="2" s="1"/>
  <c r="J120" i="2" s="1"/>
  <c r="K99" i="2" s="1"/>
  <c r="K103" i="2" s="1"/>
  <c r="K118" i="2" s="1"/>
  <c r="K120" i="2" s="1"/>
  <c r="L99" i="2" s="1"/>
  <c r="L103" i="2" s="1"/>
  <c r="L118" i="2" s="1"/>
  <c r="L120" i="2" s="1"/>
  <c r="M99" i="2" s="1"/>
  <c r="M103" i="2" s="1"/>
  <c r="M118" i="2" s="1"/>
  <c r="N99" i="2" l="1"/>
  <c r="M120" i="2"/>
  <c r="N118" i="2"/>
</calcChain>
</file>

<file path=xl/sharedStrings.xml><?xml version="1.0" encoding="utf-8"?>
<sst xmlns="http://schemas.openxmlformats.org/spreadsheetml/2006/main" count="569" uniqueCount="151">
  <si>
    <t>MOB Y EQUIPO</t>
  </si>
  <si>
    <t>EQUIPO DE COMPUTO</t>
  </si>
  <si>
    <t>ENSERES</t>
  </si>
  <si>
    <t>EQ. OFICINA</t>
  </si>
  <si>
    <t>CONCEPTO</t>
  </si>
  <si>
    <t>COSTO</t>
  </si>
  <si>
    <t>PERSONAL REQUERIDO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</si>
  <si>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</si>
  <si>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</si>
  <si>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</si>
  <si>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</si>
  <si>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</si>
  <si>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</si>
  <si>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</si>
  <si>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</si>
  <si>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</si>
  <si>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</si>
  <si>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</si>
  <si>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</si>
  <si>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</si>
  <si>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MANICURE</t>
  </si>
  <si>
    <t>PEDICURE</t>
  </si>
  <si>
    <t>FACIALES</t>
  </si>
  <si>
    <t>DEPILACIONES</t>
  </si>
  <si>
    <t>APAR. 50% (CONTADO)</t>
  </si>
  <si>
    <t>APAR. 50% (15 DÍAS)</t>
  </si>
  <si>
    <t>SESIONES APARTO.</t>
  </si>
  <si>
    <t>RADIO FACIAL</t>
  </si>
  <si>
    <t>MASAJES</t>
  </si>
  <si>
    <t>PTO ENTRADAS</t>
  </si>
  <si>
    <t>VENTAS</t>
  </si>
  <si>
    <t>VENTAS INFLACIÓN</t>
  </si>
  <si>
    <t>AUMENTO 10%</t>
  </si>
  <si>
    <t>YOGA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</si>
  <si>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</si>
  <si>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</si>
  <si>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</si>
  <si>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</si>
  <si>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</si>
  <si>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</si>
  <si>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</si>
  <si>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</si>
  <si>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</si>
  <si>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</si>
  <si>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</si>
  <si>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</si>
  <si>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SALDO INICIAL</t>
  </si>
  <si>
    <t>ENTRADAS DE EFECTIVO</t>
  </si>
  <si>
    <t>VENTA-SERVICIO</t>
  </si>
  <si>
    <t>TOTAL DE INGRESOS</t>
  </si>
  <si>
    <t>SALIDAS DE EFECTIVO</t>
  </si>
  <si>
    <t>LUZ(BIM)</t>
  </si>
  <si>
    <t>AGUA(BIM)</t>
  </si>
  <si>
    <t>TELEFONO E INTERNET</t>
  </si>
  <si>
    <t>RENTA</t>
  </si>
  <si>
    <t>SEGURIDAD</t>
  </si>
  <si>
    <t>SUELDOS</t>
  </si>
  <si>
    <t>LAVANDERIA</t>
  </si>
  <si>
    <t>PAGO IMSS</t>
  </si>
  <si>
    <t>INSUMOS</t>
  </si>
  <si>
    <t>SALDO ANTES DE MINIMO</t>
  </si>
  <si>
    <t>SALDO MINIMO DE OPERACIÓN</t>
  </si>
  <si>
    <t>EFECTIVO NUEVO DISPONIBLE</t>
  </si>
  <si>
    <t>BONO PUNTUALIDAD</t>
  </si>
  <si>
    <t>IMPUESTOS</t>
  </si>
  <si>
    <t>CAPITAL SEMILLA</t>
  </si>
  <si>
    <t>PAGO CAP PRÉSTAMO</t>
  </si>
  <si>
    <t>PAG. INTERES PRESTAMO</t>
  </si>
  <si>
    <t>VENTAS NETAS</t>
  </si>
  <si>
    <t>COSTO DE VENTA</t>
  </si>
  <si>
    <t>UTILIDAD BRUTA</t>
  </si>
  <si>
    <t>GASTOS DE OPERACIÓN</t>
  </si>
  <si>
    <t xml:space="preserve">IMSS </t>
  </si>
  <si>
    <t>DEPRECIACION (10%)</t>
  </si>
  <si>
    <t>BONO DE PUNTUALIDAD</t>
  </si>
  <si>
    <t>LUZ</t>
  </si>
  <si>
    <t>AGUA</t>
  </si>
  <si>
    <t>TEL/INTERNET</t>
  </si>
  <si>
    <t>UAII</t>
  </si>
  <si>
    <t>INTERESES</t>
  </si>
  <si>
    <t>UAI</t>
  </si>
  <si>
    <t>ISR</t>
  </si>
  <si>
    <t>PTU</t>
  </si>
  <si>
    <t>UDI</t>
  </si>
  <si>
    <t>ACCIONES COMUNES</t>
  </si>
  <si>
    <t>UPA</t>
  </si>
  <si>
    <t>ACTIVO</t>
  </si>
  <si>
    <t>PASIVO</t>
  </si>
  <si>
    <t>CIRCULANTE</t>
  </si>
  <si>
    <t>CORTO PLAZO</t>
  </si>
  <si>
    <t>bancos</t>
  </si>
  <si>
    <t>impuestos x pagar</t>
  </si>
  <si>
    <t>cuentas x cobrar</t>
  </si>
  <si>
    <t>FIJO</t>
  </si>
  <si>
    <t>LARGO PLAZO</t>
  </si>
  <si>
    <t>mob. Y equipo</t>
  </si>
  <si>
    <t>dep acum</t>
  </si>
  <si>
    <t>TOTAL PASIVO</t>
  </si>
  <si>
    <t>equipo computo</t>
  </si>
  <si>
    <t>CAPITAL CONTABLE</t>
  </si>
  <si>
    <t>enseres</t>
  </si>
  <si>
    <t>capital social</t>
  </si>
  <si>
    <t>utilidad del ejercicio</t>
  </si>
  <si>
    <t>ep oficina</t>
  </si>
  <si>
    <t xml:space="preserve">TOTAL CAPITAL </t>
  </si>
  <si>
    <t>DIFERIDO</t>
  </si>
  <si>
    <t>depositos en garantia</t>
  </si>
  <si>
    <t>TOTAL CAPITAL + PASIVO</t>
  </si>
  <si>
    <t>TOTAL ACTIVO</t>
  </si>
  <si>
    <t>prestamo</t>
  </si>
  <si>
    <t>Precio Venta</t>
  </si>
  <si>
    <t>Costo Venta</t>
  </si>
  <si>
    <t>Punto Equilibrio</t>
  </si>
  <si>
    <t>Costos Fijos</t>
  </si>
  <si>
    <t>Capital de trabajo</t>
  </si>
  <si>
    <t>Activo Circulante-Pasivo Corto Plazo</t>
  </si>
  <si>
    <t>Liquidez</t>
  </si>
  <si>
    <t>Activo Circulante/Pasivo Corto Plazo</t>
  </si>
  <si>
    <t>Rotacion de Clientes</t>
  </si>
  <si>
    <t>Ventas a credito/Promedio Cuentas por Cobrar</t>
  </si>
  <si>
    <t>Dias cliente</t>
  </si>
  <si>
    <t>30 días/Rotacion CxC</t>
  </si>
  <si>
    <t>Rotación de Activos</t>
  </si>
  <si>
    <t>Ventas/Activos Totales</t>
  </si>
  <si>
    <t>Razon de dependencia financiera</t>
  </si>
  <si>
    <t>Pasivo total/Activo Total</t>
  </si>
  <si>
    <t>Razon Pasivo Capital</t>
  </si>
  <si>
    <t>Pasivo total/Capital Contable</t>
  </si>
  <si>
    <t>Razon Cobertura Interes</t>
  </si>
  <si>
    <t>UAII/Gastos por interes</t>
  </si>
  <si>
    <t>Razon Inversion Propia</t>
  </si>
  <si>
    <t>Capital contable/Activo Total</t>
  </si>
  <si>
    <t>Rendimiento de la inversion</t>
  </si>
  <si>
    <t>Utilidad Neta Despues Imptos/Activos Totales</t>
  </si>
  <si>
    <t>Rendimiento del capital</t>
  </si>
  <si>
    <t>Utilidad Neta Depues Imptos/Capital Social</t>
  </si>
  <si>
    <t>Margen Utilidad</t>
  </si>
  <si>
    <t>Utilidad Neta Despues Imptos/Ventas Netas</t>
  </si>
  <si>
    <t>PRI</t>
  </si>
  <si>
    <t>Bancos</t>
  </si>
  <si>
    <t>La inversión regresa en un lapso de 12 meses y 19 días</t>
  </si>
  <si>
    <t>Inversion</t>
  </si>
  <si>
    <t>dias</t>
  </si>
  <si>
    <t>TCR</t>
  </si>
  <si>
    <t>Utilidad N</t>
  </si>
  <si>
    <t>Promedio</t>
  </si>
  <si>
    <t>Inv Inicial</t>
  </si>
  <si>
    <t>TIR</t>
  </si>
  <si>
    <t>INV</t>
  </si>
  <si>
    <t>TREMA</t>
  </si>
  <si>
    <t>FLUJOS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</si>
</sst>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rial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64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164" fontId="0" fillId="0" borderId="0" xfId="0" applyNumberFormat="1"/>
    <xf numFmtId="164" fontId="0" fillId="0" borderId="0" xfId="1" applyFont="1"/>
    <xf numFmtId="0" fontId="0" fillId="0" borderId="1" xfId="0" applyBorder="1"/>
    <xf numFmtId="164" fontId="0" fillId="0" borderId="1" xfId="1" applyFont="1" applyBorder="1"/>
    <xf numFmtId="0" fontId="4" fillId="0" borderId="0" xfId="0" applyFont="1"/>
    <xf numFmtId="164" fontId="4" fillId="0" borderId="0" xfId="1" applyFont="1"/>
    <xf numFmtId="165" fontId="0" fillId="0" borderId="0" xfId="0" applyNumberFormat="1"/>
    <xf numFmtId="165" fontId="4" fillId="0" borderId="0" xfId="0" applyNumberFormat="1" applyFont="1"/>
    <xf numFmtId="165" fontId="0" fillId="0" borderId="1" xfId="0" applyNumberFormat="1" applyBorder="1"/>
    <xf numFmtId="0" fontId="4" fillId="0" borderId="1" xfId="0" applyFont="1" applyBorder="1"/>
    <xf numFmtId="165" fontId="4" fillId="0" borderId="1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2" fontId="0" fillId="0" borderId="0" xfId="1" applyNumberFormat="1" applyFont="1"/>
    <xf numFmtId="10" fontId="0" fillId="0" borderId="0" xfId="2" applyNumberFormat="1" applyFont="1"/>
    <xf numFmtId="0" fontId="0" fillId="0" borderId="0" xfId="1" applyNumberFormat="1" applyFont="1"/>
    <xf numFmtId="2" fontId="0" fillId="0" borderId="0" xfId="2" applyNumberFormat="1" applyFont="1"/>
    <xf numFmtId="2" fontId="0" fillId="0" borderId="0" xfId="0" applyNumberFormat="1"/>
    <xf numFmtId="0" fontId="0" fillId="2" borderId="0" xfId="0" applyFill="1"/>
    <xf numFmtId="10" fontId="4" fillId="0" borderId="0" xfId="2" applyNumberFormat="1" applyFont="1"/>
    <xf numFmtId="9" fontId="0" fillId="0" borderId="0" xfId="0" applyNumberFormat="1"/>
    <xf numFmtId="9" fontId="4" fillId="0" borderId="0" xfId="0" applyNumberFormat="1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_pe\Downloads\trabajo%20fatima.xlsx" TargetMode="External"/><Relationship Id="rId1" Type="http://schemas.openxmlformats.org/officeDocument/2006/relationships/externalLinkPath" Target="file:///C:\Users\pe_pe\Downloads\trabajo%20fati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de inversion"/>
      <sheetName val="2020"/>
      <sheetName val="2021"/>
      <sheetName val="2022"/>
      <sheetName val="2023"/>
      <sheetName val="2024"/>
      <sheetName val="FLUJO DE EFECTIVO"/>
      <sheetName val="ESTADO DE RESULTADO"/>
      <sheetName val="BALANCE GENERAL"/>
      <sheetName val="PUNTO DE EQUILIBRIO"/>
      <sheetName val="RAZONES FINANCIERAS"/>
      <sheetName val="2024 o"/>
    </sheetNames>
    <sheetDataSet>
      <sheetData sheetId="0">
        <row r="3">
          <cell r="L3">
            <v>83025</v>
          </cell>
        </row>
        <row r="4">
          <cell r="L4">
            <v>3000</v>
          </cell>
        </row>
        <row r="5">
          <cell r="L5">
            <v>12732</v>
          </cell>
        </row>
        <row r="6">
          <cell r="L6">
            <v>8089</v>
          </cell>
        </row>
      </sheetData>
      <sheetData sheetId="1" refreshError="1"/>
      <sheetData sheetId="2" refreshError="1"/>
      <sheetData sheetId="3" refreshError="1"/>
      <sheetData sheetId="4">
        <row r="7">
          <cell r="N7">
            <v>5209.32</v>
          </cell>
        </row>
      </sheetData>
      <sheetData sheetId="5">
        <row r="7">
          <cell r="N7">
            <v>7293.04</v>
          </cell>
        </row>
      </sheetData>
      <sheetData sheetId="6">
        <row r="10">
          <cell r="B10">
            <v>18000</v>
          </cell>
        </row>
        <row r="16">
          <cell r="M16">
            <v>137013.45999999996</v>
          </cell>
        </row>
        <row r="37">
          <cell r="M37">
            <v>240096.54999999978</v>
          </cell>
        </row>
        <row r="58">
          <cell r="N58">
            <v>23509.199999999997</v>
          </cell>
        </row>
        <row r="60">
          <cell r="M60">
            <v>494789.31249999924</v>
          </cell>
        </row>
        <row r="81">
          <cell r="N81">
            <v>26490.799999999996</v>
          </cell>
        </row>
        <row r="83">
          <cell r="M83">
            <v>764680.91787500051</v>
          </cell>
        </row>
        <row r="106">
          <cell r="M106">
            <v>1247852.301768753</v>
          </cell>
        </row>
      </sheetData>
      <sheetData sheetId="7">
        <row r="18">
          <cell r="B18">
            <v>29572.457999999995</v>
          </cell>
        </row>
        <row r="19">
          <cell r="B19">
            <v>9857.485999999999</v>
          </cell>
        </row>
        <row r="20">
          <cell r="B20">
            <v>59144.91599999999</v>
          </cell>
        </row>
        <row r="42">
          <cell r="B42">
            <v>39518.534999999967</v>
          </cell>
        </row>
        <row r="43">
          <cell r="B43">
            <v>13172.84499999999</v>
          </cell>
        </row>
        <row r="44">
          <cell r="B44">
            <v>79037.069999999934</v>
          </cell>
        </row>
        <row r="66">
          <cell r="B66">
            <v>80164.51575000005</v>
          </cell>
        </row>
        <row r="67">
          <cell r="B67">
            <v>26721.505250000017</v>
          </cell>
        </row>
        <row r="68">
          <cell r="B68">
            <v>160326.10150000011</v>
          </cell>
        </row>
        <row r="90">
          <cell r="B90">
            <v>118343.14436250002</v>
          </cell>
        </row>
        <row r="91">
          <cell r="B91">
            <v>39447.714787500008</v>
          </cell>
        </row>
        <row r="92">
          <cell r="B92">
            <v>236686.31872500008</v>
          </cell>
        </row>
        <row r="114">
          <cell r="B114">
            <v>189712.182530625</v>
          </cell>
        </row>
        <row r="115">
          <cell r="B115">
            <v>63237.394176875001</v>
          </cell>
        </row>
        <row r="116">
          <cell r="B116">
            <v>379422.73506124993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41E2-FA17-4F75-9B2F-717F6DF94B3B}">
  <dimension ref="E9:F12"/>
  <sheetViews>
    <sheetView workbookViewId="0">
      <selection activeCell="C48" sqref="C48"/>
    </sheetView>
  </sheetViews>
  <sheetFormatPr defaultColWidth="11.42578125" defaultRowHeight="14.45"/>
  <cols>
    <col min="5" max="5" width="19" bestFit="1" customWidth="1"/>
  </cols>
  <sheetData>
    <row r="9" spans="5:6">
      <c r="E9" s="13" t="s">
        <v>0</v>
      </c>
      <c r="F9" s="14">
        <v>83025</v>
      </c>
    </row>
    <row r="10" spans="5:6">
      <c r="E10" s="13" t="s">
        <v>1</v>
      </c>
      <c r="F10" s="14">
        <v>3000</v>
      </c>
    </row>
    <row r="11" spans="5:6">
      <c r="E11" s="13" t="s">
        <v>2</v>
      </c>
      <c r="F11" s="14">
        <v>12732</v>
      </c>
    </row>
    <row r="12" spans="5:6">
      <c r="E12" s="13" t="s">
        <v>3</v>
      </c>
      <c r="F12" s="14">
        <v>8089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BED8-C2D2-4244-8109-32D346F20C7C}">
  <dimension ref="A2:AD92"/>
  <sheetViews>
    <sheetView tabSelected="1" zoomScaleNormal="100" workbookViewId="0">
      <selection activeCell="D64" sqref="D64"/>
    </sheetView>
  </sheetViews>
  <sheetFormatPr defaultColWidth="11.42578125" defaultRowHeight="14.45"/>
  <cols>
    <col min="1" max="1" width="23.42578125" bestFit="1" customWidth="1"/>
    <col min="2" max="2" width="10.7109375" customWidth="1"/>
    <col min="3" max="3" width="15.7109375" customWidth="1"/>
    <col min="4" max="4" width="12.28515625" customWidth="1"/>
    <col min="5" max="11" width="12.42578125" bestFit="1" customWidth="1"/>
    <col min="12" max="12" width="13.85546875" bestFit="1" customWidth="1"/>
    <col min="13" max="13" width="12.42578125" bestFit="1" customWidth="1"/>
    <col min="14" max="14" width="12.7109375" bestFit="1" customWidth="1"/>
    <col min="15" max="15" width="12.85546875" customWidth="1"/>
    <col min="16" max="16" width="14" bestFit="1" customWidth="1"/>
  </cols>
  <sheetData>
    <row r="2" spans="1:16">
      <c r="A2" s="7">
        <v>2020</v>
      </c>
    </row>
    <row r="3" spans="1:16" s="1" customFormat="1" ht="27.6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</row>
    <row r="4" spans="1:16">
      <c r="A4" s="3" t="s">
        <v>20</v>
      </c>
      <c r="B4" s="4">
        <v>150</v>
      </c>
      <c r="C4" s="5">
        <v>4</v>
      </c>
      <c r="D4" s="4">
        <f>15*C4*B4</f>
        <v>9000</v>
      </c>
      <c r="E4" s="4">
        <f>20*C4*B4</f>
        <v>12000</v>
      </c>
      <c r="F4" s="4">
        <f>20*C4*B4</f>
        <v>12000</v>
      </c>
      <c r="G4" s="4">
        <f>10*C4*B4</f>
        <v>6000</v>
      </c>
      <c r="H4" s="4">
        <f>18*C4*B4</f>
        <v>10800</v>
      </c>
      <c r="I4" s="4">
        <f>8*C4*B4</f>
        <v>4800</v>
      </c>
      <c r="J4" s="4">
        <f>19*C4*B4</f>
        <v>11400</v>
      </c>
      <c r="K4" s="4">
        <f>15*C4*B4</f>
        <v>9000</v>
      </c>
      <c r="L4" s="4">
        <f>20*C4*B4</f>
        <v>12000</v>
      </c>
      <c r="M4" s="4">
        <f>15*C4*B4</f>
        <v>9000</v>
      </c>
      <c r="N4" s="4">
        <f>15*C4*B4</f>
        <v>9000</v>
      </c>
      <c r="O4" s="4">
        <f>16*C4*B4</f>
        <v>9600</v>
      </c>
      <c r="P4" s="6">
        <f>SUM(D4:O4)</f>
        <v>114600</v>
      </c>
    </row>
    <row r="5" spans="1:16">
      <c r="A5" s="3" t="s">
        <v>21</v>
      </c>
      <c r="B5" s="4">
        <v>200</v>
      </c>
      <c r="C5" s="5">
        <v>4</v>
      </c>
      <c r="D5" s="4">
        <f>5*$C$5*$B$5</f>
        <v>4000</v>
      </c>
      <c r="E5" s="4">
        <f>20*$C$5*$B$5</f>
        <v>16000</v>
      </c>
      <c r="F5" s="4">
        <f>18*$C$5*$B$5</f>
        <v>14400</v>
      </c>
      <c r="G5" s="4">
        <f>12*$C$5*$B$5</f>
        <v>9600</v>
      </c>
      <c r="H5" s="4">
        <f>3*$C$5*$B$5</f>
        <v>2400</v>
      </c>
      <c r="I5" s="4">
        <f>3*$C$5*$B$5</f>
        <v>2400</v>
      </c>
      <c r="J5" s="4">
        <f>5*$C$5*$B$5</f>
        <v>4000</v>
      </c>
      <c r="K5" s="4">
        <f>8*$C$5*$B$5</f>
        <v>6400</v>
      </c>
      <c r="L5" s="4">
        <f>8*$C$5*$B$5</f>
        <v>6400</v>
      </c>
      <c r="M5" s="4">
        <f>5*$C$5*$B$5</f>
        <v>4000</v>
      </c>
      <c r="N5" s="4">
        <f>5*$C$5*$B$5</f>
        <v>4000</v>
      </c>
      <c r="O5" s="4">
        <f>5*$C$5*$B$5</f>
        <v>4000</v>
      </c>
      <c r="P5" s="6">
        <f>SUM(D5:O5)</f>
        <v>77600</v>
      </c>
    </row>
    <row r="6" spans="1:16">
      <c r="A6" s="3" t="s">
        <v>22</v>
      </c>
      <c r="B6" s="4">
        <v>300</v>
      </c>
      <c r="C6" s="5">
        <v>4</v>
      </c>
      <c r="D6" s="4">
        <f>2*$C$6*$B$6</f>
        <v>2400</v>
      </c>
      <c r="E6" s="4">
        <f t="shared" ref="E6" si="0">2*$C$6*$B$6</f>
        <v>2400</v>
      </c>
      <c r="F6" s="4">
        <f>3*$C$6*$B$6</f>
        <v>3600</v>
      </c>
      <c r="G6" s="4">
        <f>3*$C$6*$B$6</f>
        <v>3600</v>
      </c>
      <c r="H6" s="4">
        <f>1*$C$6*$B$6</f>
        <v>1200</v>
      </c>
      <c r="I6" s="4">
        <f>1*$C$6*$B$6</f>
        <v>1200</v>
      </c>
      <c r="J6" s="4">
        <f>1*$C$6*$B$6</f>
        <v>1200</v>
      </c>
      <c r="K6" s="4">
        <f>2*$C$6*$B$6</f>
        <v>2400</v>
      </c>
      <c r="L6" s="4">
        <f>6*$C$6*$B$6</f>
        <v>7200</v>
      </c>
      <c r="M6" s="4">
        <f>7*$C$6*$B$6</f>
        <v>8400</v>
      </c>
      <c r="N6" s="4">
        <f>3*$C$6*$B$6</f>
        <v>3600</v>
      </c>
      <c r="O6" s="4">
        <f>3*$C$6*$B$6</f>
        <v>3600</v>
      </c>
      <c r="P6" s="6">
        <f>SUM(D6:O6)</f>
        <v>40800</v>
      </c>
    </row>
    <row r="7" spans="1:16">
      <c r="A7" s="3" t="s">
        <v>23</v>
      </c>
      <c r="B7" s="4">
        <v>200</v>
      </c>
      <c r="C7" s="5">
        <v>1</v>
      </c>
      <c r="D7" s="4">
        <f>65*$C$7*$B$7</f>
        <v>13000</v>
      </c>
      <c r="E7" s="4">
        <f>80*$C$7*$B$7</f>
        <v>16000</v>
      </c>
      <c r="F7" s="4">
        <f>70*$C$7*$B$7</f>
        <v>14000</v>
      </c>
      <c r="G7" s="4">
        <f>75*$C$7*$B$7</f>
        <v>15000</v>
      </c>
      <c r="H7" s="4">
        <f>80*$C$7*$B$7</f>
        <v>16000</v>
      </c>
      <c r="I7" s="4">
        <f>74*$C$7*$B$7</f>
        <v>14800</v>
      </c>
      <c r="J7" s="4">
        <f>30*$C$7*$B$7</f>
        <v>6000</v>
      </c>
      <c r="K7" s="4">
        <f>72*$C$7*$B$7</f>
        <v>14400</v>
      </c>
      <c r="L7" s="4">
        <f>100*$C$7*$B$7</f>
        <v>20000</v>
      </c>
      <c r="M7" s="4">
        <f>100*$C$7*$B$7</f>
        <v>20000</v>
      </c>
      <c r="N7" s="4">
        <f>90*$C$7*$B$7</f>
        <v>18000</v>
      </c>
      <c r="O7" s="4">
        <f>90*$C$7*$B$7</f>
        <v>18000</v>
      </c>
      <c r="P7" s="6">
        <f t="shared" ref="P7:P14" si="1">SUM(D7:O7)</f>
        <v>185200</v>
      </c>
    </row>
    <row r="8" spans="1:16">
      <c r="A8" s="3" t="s">
        <v>24</v>
      </c>
      <c r="B8" s="4">
        <v>1600</v>
      </c>
      <c r="C8" s="5">
        <v>1</v>
      </c>
      <c r="D8" s="4">
        <f>3*$C$8*$B$8</f>
        <v>4800</v>
      </c>
      <c r="E8" s="4">
        <f t="shared" ref="E8:J8" si="2">3*$C$8*$B$8</f>
        <v>4800</v>
      </c>
      <c r="F8" s="4">
        <f>5*$C$8*$B$8</f>
        <v>8000</v>
      </c>
      <c r="G8" s="4">
        <f>7*$C$8*$B$8</f>
        <v>11200</v>
      </c>
      <c r="H8" s="4">
        <f>8*$C$8*$B$8</f>
        <v>12800</v>
      </c>
      <c r="I8" s="4">
        <f>4*$C$8*$B$8</f>
        <v>6400</v>
      </c>
      <c r="J8" s="4">
        <f t="shared" si="2"/>
        <v>4800</v>
      </c>
      <c r="K8" s="4">
        <f>4*$C$8*$B$8</f>
        <v>6400</v>
      </c>
      <c r="L8" s="4">
        <f>6*$C$8*$B$8</f>
        <v>9600</v>
      </c>
      <c r="M8" s="4">
        <f>5*$C$8*$B$8</f>
        <v>8000</v>
      </c>
      <c r="N8" s="4">
        <f>4*$C$8*$B$8</f>
        <v>6400</v>
      </c>
      <c r="O8" s="4">
        <f>4*$C$8*$B$8</f>
        <v>6400</v>
      </c>
      <c r="P8" s="6">
        <f t="shared" si="1"/>
        <v>89600</v>
      </c>
    </row>
    <row r="9" spans="1:16">
      <c r="A9" s="3" t="s">
        <v>25</v>
      </c>
      <c r="B9" s="4">
        <v>1600</v>
      </c>
      <c r="C9" s="5">
        <v>1</v>
      </c>
      <c r="D9" s="4">
        <v>0</v>
      </c>
      <c r="E9" s="4">
        <f t="shared" ref="E9:O9" si="3">D8</f>
        <v>4800</v>
      </c>
      <c r="F9" s="4">
        <f t="shared" si="3"/>
        <v>4800</v>
      </c>
      <c r="G9" s="4">
        <f t="shared" si="3"/>
        <v>8000</v>
      </c>
      <c r="H9" s="4">
        <f t="shared" si="3"/>
        <v>11200</v>
      </c>
      <c r="I9" s="4">
        <f t="shared" si="3"/>
        <v>12800</v>
      </c>
      <c r="J9" s="4">
        <f t="shared" si="3"/>
        <v>6400</v>
      </c>
      <c r="K9" s="4">
        <f t="shared" si="3"/>
        <v>4800</v>
      </c>
      <c r="L9" s="4">
        <f t="shared" si="3"/>
        <v>6400</v>
      </c>
      <c r="M9" s="4">
        <f t="shared" si="3"/>
        <v>9600</v>
      </c>
      <c r="N9" s="4">
        <f t="shared" si="3"/>
        <v>8000</v>
      </c>
      <c r="O9" s="4">
        <f t="shared" si="3"/>
        <v>6400</v>
      </c>
      <c r="P9" s="6">
        <f t="shared" si="1"/>
        <v>83200</v>
      </c>
    </row>
    <row r="10" spans="1:16">
      <c r="A10" s="3" t="s">
        <v>26</v>
      </c>
      <c r="B10" s="4">
        <v>350</v>
      </c>
      <c r="C10" s="5">
        <v>1</v>
      </c>
      <c r="D10" s="4">
        <f>20*$C$10*$B$10</f>
        <v>7000</v>
      </c>
      <c r="E10" s="4">
        <f>13*$C$10*$B$10</f>
        <v>4550</v>
      </c>
      <c r="F10" s="4">
        <f>10*$C$10*$B$10</f>
        <v>3500</v>
      </c>
      <c r="G10" s="4">
        <f>0*$C$10*$B$10</f>
        <v>0</v>
      </c>
      <c r="H10" s="4">
        <f>0*$C$10*$B$10</f>
        <v>0</v>
      </c>
      <c r="I10" s="4">
        <f>4*$C$10*$B$10</f>
        <v>1400</v>
      </c>
      <c r="J10" s="4">
        <f>5*$C$10*$B$10</f>
        <v>1750</v>
      </c>
      <c r="K10" s="4">
        <f>8*$C$10*$B$10</f>
        <v>2800</v>
      </c>
      <c r="L10" s="4">
        <f>0*$C$10*$B$10</f>
        <v>0</v>
      </c>
      <c r="M10" s="4">
        <f>8*$C$10*$B$10</f>
        <v>2800</v>
      </c>
      <c r="N10" s="4">
        <f>0*$C$10*$B$10</f>
        <v>0</v>
      </c>
      <c r="O10" s="4">
        <f>12*$C$10*$B$10</f>
        <v>4200</v>
      </c>
      <c r="P10" s="6">
        <f t="shared" si="1"/>
        <v>28000</v>
      </c>
    </row>
    <row r="11" spans="1:16">
      <c r="A11" s="3" t="s">
        <v>27</v>
      </c>
      <c r="B11" s="4">
        <v>250</v>
      </c>
      <c r="C11" s="5">
        <v>1</v>
      </c>
      <c r="D11" s="4">
        <f>4*$C$11*$B$11</f>
        <v>1000</v>
      </c>
      <c r="E11" s="4">
        <f>16*$C$11*$B$11</f>
        <v>4000</v>
      </c>
      <c r="F11" s="4">
        <f>40*$C$11*$B$11</f>
        <v>10000</v>
      </c>
      <c r="G11" s="4">
        <f>28*$C$11*$B$11</f>
        <v>7000</v>
      </c>
      <c r="H11" s="4">
        <f>22*$C$11*$B$11</f>
        <v>5500</v>
      </c>
      <c r="I11" s="4">
        <f>24*$C$11*$B$11</f>
        <v>6000</v>
      </c>
      <c r="J11" s="4">
        <f>50*$C$11*$B$11</f>
        <v>12500</v>
      </c>
      <c r="K11" s="4">
        <f>60*$C$11*$B$11</f>
        <v>15000</v>
      </c>
      <c r="L11" s="4">
        <f>25*$C$11*$B$11</f>
        <v>6250</v>
      </c>
      <c r="M11" s="4">
        <f>24*$C$11*$B$11</f>
        <v>6000</v>
      </c>
      <c r="N11" s="4">
        <f>24*$C$11*$B$11</f>
        <v>6000</v>
      </c>
      <c r="O11" s="4">
        <f>50*$C$11*$B$11</f>
        <v>12500</v>
      </c>
      <c r="P11" s="6">
        <f t="shared" si="1"/>
        <v>91750</v>
      </c>
    </row>
    <row r="12" spans="1:16">
      <c r="A12" s="3" t="s">
        <v>28</v>
      </c>
      <c r="B12" s="4">
        <v>500</v>
      </c>
      <c r="C12" s="5">
        <v>1</v>
      </c>
      <c r="D12" s="4">
        <f>8*$C$12*$B$12</f>
        <v>4000</v>
      </c>
      <c r="E12" s="4">
        <f>13*$C$12*$B$12</f>
        <v>6500</v>
      </c>
      <c r="F12" s="4">
        <f>15*$C$12*$B$12</f>
        <v>7500</v>
      </c>
      <c r="G12" s="4">
        <f>4*$C$12*$B$12</f>
        <v>2000</v>
      </c>
      <c r="H12" s="4">
        <f>16*$C$12*$B$12</f>
        <v>8000</v>
      </c>
      <c r="I12" s="4">
        <f>5*$C$12*$B$12</f>
        <v>2500</v>
      </c>
      <c r="J12" s="4">
        <f t="shared" ref="J12" si="4">8*$C$12*$B$12</f>
        <v>4000</v>
      </c>
      <c r="K12" s="4">
        <f>6*$C$12*$B$12</f>
        <v>3000</v>
      </c>
      <c r="L12" s="4">
        <f>13*$C$12*$B$12</f>
        <v>6500</v>
      </c>
      <c r="M12" s="4">
        <f>9*$C$12*$B$12</f>
        <v>4500</v>
      </c>
      <c r="N12" s="4">
        <f>28*$C$12*$B$12</f>
        <v>14000</v>
      </c>
      <c r="O12" s="4">
        <f>10*$C$12*$B$12</f>
        <v>5000</v>
      </c>
      <c r="P12" s="6">
        <f t="shared" si="1"/>
        <v>67500</v>
      </c>
    </row>
    <row r="13" spans="1:16">
      <c r="A13" s="3" t="s">
        <v>29</v>
      </c>
      <c r="B13" s="5"/>
      <c r="C13" s="5"/>
      <c r="D13" s="4">
        <f t="shared" ref="D13:O13" si="5">D4+D5+D6+D7+D8+D10+D11+D12+D9</f>
        <v>45200</v>
      </c>
      <c r="E13" s="4">
        <f t="shared" si="5"/>
        <v>71050</v>
      </c>
      <c r="F13" s="4">
        <f t="shared" si="5"/>
        <v>77800</v>
      </c>
      <c r="G13" s="4">
        <f t="shared" si="5"/>
        <v>62400</v>
      </c>
      <c r="H13" s="4">
        <f t="shared" si="5"/>
        <v>67900</v>
      </c>
      <c r="I13" s="4">
        <f t="shared" si="5"/>
        <v>52300</v>
      </c>
      <c r="J13" s="4">
        <f t="shared" si="5"/>
        <v>52050</v>
      </c>
      <c r="K13" s="4">
        <f t="shared" si="5"/>
        <v>64200</v>
      </c>
      <c r="L13" s="4">
        <f t="shared" si="5"/>
        <v>74350</v>
      </c>
      <c r="M13" s="4">
        <f t="shared" si="5"/>
        <v>72300</v>
      </c>
      <c r="N13" s="4">
        <f t="shared" si="5"/>
        <v>69000</v>
      </c>
      <c r="O13" s="4">
        <f t="shared" si="5"/>
        <v>69700</v>
      </c>
      <c r="P13" s="6">
        <f t="shared" si="1"/>
        <v>778250</v>
      </c>
    </row>
    <row r="14" spans="1:16">
      <c r="A14" s="3" t="s">
        <v>30</v>
      </c>
      <c r="B14" s="5"/>
      <c r="C14" s="5"/>
      <c r="D14" s="4">
        <f>D4+D5+D6+D7+D8+E9+D10+D11+D12</f>
        <v>50000</v>
      </c>
      <c r="E14" s="4">
        <f t="shared" ref="E14:N14" si="6">E4+E5+E6+E7+E8+F9+E10+E11+E12</f>
        <v>71050</v>
      </c>
      <c r="F14" s="4">
        <f t="shared" si="6"/>
        <v>81000</v>
      </c>
      <c r="G14" s="4">
        <f t="shared" si="6"/>
        <v>65600</v>
      </c>
      <c r="H14" s="4">
        <f t="shared" si="6"/>
        <v>69500</v>
      </c>
      <c r="I14" s="4">
        <f t="shared" si="6"/>
        <v>45900</v>
      </c>
      <c r="J14" s="4">
        <f t="shared" si="6"/>
        <v>50450</v>
      </c>
      <c r="K14" s="4">
        <f t="shared" si="6"/>
        <v>65800</v>
      </c>
      <c r="L14" s="4">
        <f t="shared" si="6"/>
        <v>77550</v>
      </c>
      <c r="M14" s="4">
        <f t="shared" si="6"/>
        <v>70700</v>
      </c>
      <c r="N14" s="4">
        <f t="shared" si="6"/>
        <v>67400</v>
      </c>
      <c r="O14" s="4">
        <f>O4+O5+O6+O7+O8+D27+O10+O11+O12</f>
        <v>69700</v>
      </c>
      <c r="P14" s="6">
        <f t="shared" si="1"/>
        <v>784650</v>
      </c>
    </row>
    <row r="15" spans="1:16">
      <c r="A15" s="3"/>
      <c r="B15" s="5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</row>
    <row r="16" spans="1:16">
      <c r="A16" s="3" t="s">
        <v>31</v>
      </c>
      <c r="B16" s="5"/>
      <c r="C16" s="5"/>
      <c r="D16" s="4">
        <f>D14*1.05</f>
        <v>52500</v>
      </c>
      <c r="E16" s="4">
        <f t="shared" ref="E16:O16" si="7">E14*1.05</f>
        <v>74602.5</v>
      </c>
      <c r="F16" s="4">
        <f t="shared" si="7"/>
        <v>85050</v>
      </c>
      <c r="G16" s="4">
        <f t="shared" si="7"/>
        <v>68880</v>
      </c>
      <c r="H16" s="4">
        <f t="shared" si="7"/>
        <v>72975</v>
      </c>
      <c r="I16" s="4">
        <f t="shared" si="7"/>
        <v>48195</v>
      </c>
      <c r="J16" s="4">
        <f t="shared" si="7"/>
        <v>52972.5</v>
      </c>
      <c r="K16" s="4">
        <f t="shared" si="7"/>
        <v>69090</v>
      </c>
      <c r="L16" s="4">
        <f t="shared" si="7"/>
        <v>81427.5</v>
      </c>
      <c r="M16" s="4">
        <f t="shared" si="7"/>
        <v>74235</v>
      </c>
      <c r="N16" s="4">
        <f t="shared" si="7"/>
        <v>70770</v>
      </c>
      <c r="O16" s="4">
        <f t="shared" si="7"/>
        <v>73185</v>
      </c>
      <c r="P16" s="6">
        <f>SUM(D16:O16)</f>
        <v>823882.5</v>
      </c>
    </row>
    <row r="17" spans="1:16">
      <c r="A17" s="3" t="s">
        <v>32</v>
      </c>
      <c r="B17" s="5"/>
      <c r="C17" s="5"/>
      <c r="D17" s="4">
        <f>D16*1.1</f>
        <v>57750.000000000007</v>
      </c>
      <c r="E17" s="4">
        <f t="shared" ref="E17:O17" si="8">E16*1.1</f>
        <v>82062.75</v>
      </c>
      <c r="F17" s="4">
        <f t="shared" si="8"/>
        <v>93555.000000000015</v>
      </c>
      <c r="G17" s="4">
        <f t="shared" si="8"/>
        <v>75768</v>
      </c>
      <c r="H17" s="4">
        <f t="shared" si="8"/>
        <v>80272.5</v>
      </c>
      <c r="I17" s="4">
        <f t="shared" si="8"/>
        <v>53014.500000000007</v>
      </c>
      <c r="J17" s="4">
        <f t="shared" si="8"/>
        <v>58269.750000000007</v>
      </c>
      <c r="K17" s="4">
        <f t="shared" si="8"/>
        <v>75999</v>
      </c>
      <c r="L17" s="4">
        <f t="shared" si="8"/>
        <v>89570.25</v>
      </c>
      <c r="M17" s="4">
        <f t="shared" si="8"/>
        <v>81658.5</v>
      </c>
      <c r="N17" s="4">
        <f t="shared" si="8"/>
        <v>77847</v>
      </c>
      <c r="O17" s="4">
        <f t="shared" si="8"/>
        <v>80503.5</v>
      </c>
      <c r="P17" s="6">
        <f>SUM(D17:O17)</f>
        <v>906270.75</v>
      </c>
    </row>
    <row r="20" spans="1:16">
      <c r="A20" s="7">
        <v>2021</v>
      </c>
    </row>
    <row r="21" spans="1:16" ht="28.15">
      <c r="A21" s="2" t="s">
        <v>4</v>
      </c>
      <c r="B21" s="2" t="s">
        <v>5</v>
      </c>
      <c r="C21" s="2" t="s">
        <v>6</v>
      </c>
      <c r="D21" s="2" t="s">
        <v>7</v>
      </c>
      <c r="E21" s="2" t="s">
        <v>8</v>
      </c>
      <c r="F21" s="2" t="s">
        <v>9</v>
      </c>
      <c r="G21" s="2" t="s">
        <v>10</v>
      </c>
      <c r="H21" s="2" t="s">
        <v>11</v>
      </c>
      <c r="I21" s="2" t="s">
        <v>12</v>
      </c>
      <c r="J21" s="2" t="s">
        <v>13</v>
      </c>
      <c r="K21" s="2" t="s">
        <v>14</v>
      </c>
      <c r="L21" s="2" t="s">
        <v>15</v>
      </c>
      <c r="M21" s="2" t="s">
        <v>16</v>
      </c>
      <c r="N21" s="2" t="s">
        <v>17</v>
      </c>
      <c r="O21" s="2" t="s">
        <v>18</v>
      </c>
      <c r="P21" s="2" t="s">
        <v>19</v>
      </c>
    </row>
    <row r="22" spans="1:16">
      <c r="A22" s="3" t="s">
        <v>20</v>
      </c>
      <c r="B22" s="4">
        <v>157.5</v>
      </c>
      <c r="C22" s="5">
        <v>1</v>
      </c>
      <c r="D22" s="4">
        <f>32*$C$22*$B$22</f>
        <v>5040</v>
      </c>
      <c r="E22" s="4">
        <f>40*$C$22*$B$22</f>
        <v>6300</v>
      </c>
      <c r="F22" s="4">
        <f>60*$C$22*$B$22</f>
        <v>9450</v>
      </c>
      <c r="G22" s="4">
        <f>40*$C$22*$B$22</f>
        <v>6300</v>
      </c>
      <c r="H22" s="4">
        <f>60*$C$22*$B$22</f>
        <v>9450</v>
      </c>
      <c r="I22" s="4">
        <f>60*$C$22*$B$22</f>
        <v>9450</v>
      </c>
      <c r="J22" s="4">
        <f>40*$C$22*$B$22</f>
        <v>6300</v>
      </c>
      <c r="K22" s="4">
        <f>45*$C$22*$B$22</f>
        <v>7087.5</v>
      </c>
      <c r="L22" s="4">
        <f>50*$C$22*$B$22</f>
        <v>7875</v>
      </c>
      <c r="M22" s="4">
        <f>50*$C$22*$B$22</f>
        <v>7875</v>
      </c>
      <c r="N22" s="4">
        <f>50*$C$22*$B$22</f>
        <v>7875</v>
      </c>
      <c r="O22" s="4">
        <f>70*$C$22*$B$22</f>
        <v>11025</v>
      </c>
      <c r="P22" s="6">
        <f>SUM(D22:O22)</f>
        <v>94027.5</v>
      </c>
    </row>
    <row r="23" spans="1:16">
      <c r="A23" s="3" t="s">
        <v>21</v>
      </c>
      <c r="B23" s="4">
        <v>210</v>
      </c>
      <c r="C23" s="5">
        <v>1</v>
      </c>
      <c r="D23" s="4">
        <f>13*$C$23*$B$23</f>
        <v>2730</v>
      </c>
      <c r="E23" s="4">
        <f>12*$C$23*$B$23</f>
        <v>2520</v>
      </c>
      <c r="F23" s="4">
        <f>33*$C$23*$B$23</f>
        <v>6930</v>
      </c>
      <c r="G23" s="4">
        <f>40*$C$23*$B$23</f>
        <v>8400</v>
      </c>
      <c r="H23" s="4">
        <f>40*$C$23*$B$23</f>
        <v>8400</v>
      </c>
      <c r="I23" s="4">
        <f>8*$C$23*$B$23</f>
        <v>1680</v>
      </c>
      <c r="J23" s="4">
        <f>25*$C$23*$B$23</f>
        <v>5250</v>
      </c>
      <c r="K23" s="4">
        <f>20*$C$23*$B$23</f>
        <v>4200</v>
      </c>
      <c r="L23" s="4">
        <f>35*$C$23*$B$23</f>
        <v>7350</v>
      </c>
      <c r="M23" s="4">
        <f>15*$C$23*$B$23</f>
        <v>3150</v>
      </c>
      <c r="N23" s="4">
        <f>50*$C$23*$B$23</f>
        <v>10500</v>
      </c>
      <c r="O23" s="4">
        <f>45*$C$23*$B$23</f>
        <v>9450</v>
      </c>
      <c r="P23" s="6">
        <f>SUM(D23:O23)</f>
        <v>70560</v>
      </c>
    </row>
    <row r="24" spans="1:16">
      <c r="A24" s="3" t="s">
        <v>22</v>
      </c>
      <c r="B24" s="4">
        <v>315</v>
      </c>
      <c r="C24" s="5">
        <v>1</v>
      </c>
      <c r="D24" s="4">
        <f>8*$C$24*$B$24</f>
        <v>2520</v>
      </c>
      <c r="E24" s="4">
        <f>9*$C$24*$B$24</f>
        <v>2835</v>
      </c>
      <c r="F24" s="4">
        <f>18*$C$24*$B$24</f>
        <v>5670</v>
      </c>
      <c r="G24" s="4">
        <f>16*$C$24*$B$24</f>
        <v>5040</v>
      </c>
      <c r="H24" s="4">
        <f>18*$C$24*$B$24</f>
        <v>5670</v>
      </c>
      <c r="I24" s="4">
        <f>4*$C$24*$B$24</f>
        <v>1260</v>
      </c>
      <c r="J24" s="4">
        <f>20*$C$24*$B$24</f>
        <v>6300</v>
      </c>
      <c r="K24" s="4">
        <f>30*$C$24*$B$24</f>
        <v>9450</v>
      </c>
      <c r="L24" s="4">
        <f>18*$C$24*$B$24</f>
        <v>5670</v>
      </c>
      <c r="M24" s="4">
        <f>15*$C$24*$B$24</f>
        <v>4725</v>
      </c>
      <c r="N24" s="4">
        <f>30*$C$24*$B$24</f>
        <v>9450</v>
      </c>
      <c r="O24" s="4">
        <f>30*$C$24*$B$24</f>
        <v>9450</v>
      </c>
      <c r="P24" s="6">
        <f>SUM(D24:O24)</f>
        <v>68040</v>
      </c>
    </row>
    <row r="25" spans="1:16">
      <c r="A25" s="3" t="s">
        <v>23</v>
      </c>
      <c r="B25" s="4">
        <v>210</v>
      </c>
      <c r="C25" s="5">
        <v>1</v>
      </c>
      <c r="D25" s="4">
        <f>80*$C$25*$B$25</f>
        <v>16800</v>
      </c>
      <c r="E25" s="4">
        <f>90*$C$25*$B$25</f>
        <v>18900</v>
      </c>
      <c r="F25" s="4">
        <f>100*$C$25*$B$25</f>
        <v>21000</v>
      </c>
      <c r="G25" s="4">
        <f>70*$C$25*$B$25</f>
        <v>14700</v>
      </c>
      <c r="H25" s="4">
        <f>85*$C$25*$B$25</f>
        <v>17850</v>
      </c>
      <c r="I25" s="4">
        <f>70*$C$25*$B$25</f>
        <v>14700</v>
      </c>
      <c r="J25" s="4">
        <f>80*$C$25*$B$25</f>
        <v>16800</v>
      </c>
      <c r="K25" s="4">
        <f>90*$C$25*$B$25</f>
        <v>18900</v>
      </c>
      <c r="L25" s="4">
        <f>110*$C$25*$B$25</f>
        <v>23100</v>
      </c>
      <c r="M25" s="4">
        <f>90*$C$25*$B$25</f>
        <v>18900</v>
      </c>
      <c r="N25" s="4">
        <f>70*$C$25*$B$25</f>
        <v>14700</v>
      </c>
      <c r="O25" s="4">
        <f>80*$C$25*$B$25</f>
        <v>16800</v>
      </c>
      <c r="P25" s="6">
        <f t="shared" ref="P25:P32" si="9">SUM(D25:O25)</f>
        <v>213150</v>
      </c>
    </row>
    <row r="26" spans="1:16">
      <c r="A26" s="3" t="s">
        <v>24</v>
      </c>
      <c r="B26" s="4">
        <v>1575</v>
      </c>
      <c r="C26" s="5">
        <v>1</v>
      </c>
      <c r="D26" s="4">
        <f>3*$C$26*$B$26</f>
        <v>4725</v>
      </c>
      <c r="E26" s="4">
        <f>5*$C$26*$B$26</f>
        <v>7875</v>
      </c>
      <c r="F26" s="4">
        <f>6*$C$26*$B$26</f>
        <v>9450</v>
      </c>
      <c r="G26" s="4">
        <f>8*$C$26*$B$26</f>
        <v>12600</v>
      </c>
      <c r="H26" s="4">
        <f>5*$C$26*$B$26</f>
        <v>7875</v>
      </c>
      <c r="I26" s="4">
        <f t="shared" ref="I26:N26" si="10">3*$C$26*$B$26</f>
        <v>4725</v>
      </c>
      <c r="J26" s="4">
        <f>5*$C$26*$B$26</f>
        <v>7875</v>
      </c>
      <c r="K26" s="4">
        <f>4*$C$26*$B$26</f>
        <v>6300</v>
      </c>
      <c r="L26" s="4">
        <f>4*$C$26*$B$26</f>
        <v>6300</v>
      </c>
      <c r="M26" s="4">
        <f>5*$C$26*$B$26</f>
        <v>7875</v>
      </c>
      <c r="N26" s="4">
        <f t="shared" si="10"/>
        <v>4725</v>
      </c>
      <c r="O26" s="4">
        <f>4*$C$26*$B$26</f>
        <v>6300</v>
      </c>
      <c r="P26" s="6">
        <f t="shared" si="9"/>
        <v>86625</v>
      </c>
    </row>
    <row r="27" spans="1:16">
      <c r="A27" s="3" t="s">
        <v>25</v>
      </c>
      <c r="B27" s="4">
        <v>1575</v>
      </c>
      <c r="C27" s="5">
        <v>1</v>
      </c>
      <c r="D27" s="4">
        <f>O8</f>
        <v>6400</v>
      </c>
      <c r="E27" s="4">
        <f t="shared" ref="E27:O27" si="11">D26</f>
        <v>4725</v>
      </c>
      <c r="F27" s="4">
        <f t="shared" si="11"/>
        <v>7875</v>
      </c>
      <c r="G27" s="4">
        <f t="shared" si="11"/>
        <v>9450</v>
      </c>
      <c r="H27" s="4">
        <f t="shared" si="11"/>
        <v>12600</v>
      </c>
      <c r="I27" s="4">
        <f t="shared" si="11"/>
        <v>7875</v>
      </c>
      <c r="J27" s="4">
        <f t="shared" si="11"/>
        <v>4725</v>
      </c>
      <c r="K27" s="4">
        <f t="shared" si="11"/>
        <v>7875</v>
      </c>
      <c r="L27" s="4">
        <f t="shared" si="11"/>
        <v>6300</v>
      </c>
      <c r="M27" s="4">
        <f t="shared" si="11"/>
        <v>6300</v>
      </c>
      <c r="N27" s="4">
        <f t="shared" si="11"/>
        <v>7875</v>
      </c>
      <c r="O27" s="4">
        <f t="shared" si="11"/>
        <v>4725</v>
      </c>
      <c r="P27" s="6">
        <f t="shared" si="9"/>
        <v>86725</v>
      </c>
    </row>
    <row r="28" spans="1:16">
      <c r="A28" s="3" t="s">
        <v>26</v>
      </c>
      <c r="B28" s="4">
        <v>367.5</v>
      </c>
      <c r="C28" s="5">
        <v>1</v>
      </c>
      <c r="D28" s="4">
        <f>13*$C$28*$B$28</f>
        <v>4777.5</v>
      </c>
      <c r="E28" s="4">
        <f t="shared" ref="E28:O28" si="12">20*$C$28*$B$28</f>
        <v>7350</v>
      </c>
      <c r="F28" s="4">
        <f>8*$C$28*$B$28</f>
        <v>2940</v>
      </c>
      <c r="G28" s="4">
        <f>0*$C$28*$B$28</f>
        <v>0</v>
      </c>
      <c r="H28" s="4">
        <f>18*$C$28*$B$28</f>
        <v>6615</v>
      </c>
      <c r="I28" s="4">
        <f>0*$C$28*$B$28</f>
        <v>0</v>
      </c>
      <c r="J28" s="4">
        <f>12*$C$28*$B$28</f>
        <v>4410</v>
      </c>
      <c r="K28" s="4">
        <f>0*$C$28*$B$28</f>
        <v>0</v>
      </c>
      <c r="L28" s="4">
        <f>2*$C$28*$B$28</f>
        <v>735</v>
      </c>
      <c r="M28" s="4">
        <f>30*$C$28*$B$28</f>
        <v>11025</v>
      </c>
      <c r="N28" s="4">
        <f>25*$C$28*$B$28</f>
        <v>9187.5</v>
      </c>
      <c r="O28" s="4">
        <f t="shared" si="12"/>
        <v>7350</v>
      </c>
      <c r="P28" s="6">
        <f t="shared" si="9"/>
        <v>54390</v>
      </c>
    </row>
    <row r="29" spans="1:16">
      <c r="A29" s="3" t="s">
        <v>27</v>
      </c>
      <c r="B29" s="4">
        <v>262.5</v>
      </c>
      <c r="C29" s="5">
        <v>1</v>
      </c>
      <c r="D29" s="4">
        <f>30*$C$29*$B$29</f>
        <v>7875</v>
      </c>
      <c r="E29" s="4">
        <f>30*$C$29*$B$29</f>
        <v>7875</v>
      </c>
      <c r="F29" s="4">
        <f>30*$C$29*$B$29</f>
        <v>7875</v>
      </c>
      <c r="G29" s="4">
        <f>30*$C$29*$B$29</f>
        <v>7875</v>
      </c>
      <c r="H29" s="4">
        <f>30*$C$29*$B$29</f>
        <v>7875</v>
      </c>
      <c r="I29" s="4">
        <f>10*$C$29*$B$29</f>
        <v>2625</v>
      </c>
      <c r="J29" s="4">
        <f>19*$C$29*$B$29</f>
        <v>4987.5</v>
      </c>
      <c r="K29" s="4">
        <f>25*$C$29*$B$29</f>
        <v>6562.5</v>
      </c>
      <c r="L29" s="4">
        <f>30*$C$29*$B$29</f>
        <v>7875</v>
      </c>
      <c r="M29" s="4">
        <f>17*$C$29*$B$29</f>
        <v>4462.5</v>
      </c>
      <c r="N29" s="4">
        <f>35*$C$29*$B$29</f>
        <v>9187.5</v>
      </c>
      <c r="O29" s="4">
        <f>30*$C$29*$B$29</f>
        <v>7875</v>
      </c>
      <c r="P29" s="6">
        <f t="shared" si="9"/>
        <v>82950</v>
      </c>
    </row>
    <row r="30" spans="1:16">
      <c r="A30" s="3" t="s">
        <v>28</v>
      </c>
      <c r="B30" s="4">
        <v>525</v>
      </c>
      <c r="C30" s="5">
        <v>1</v>
      </c>
      <c r="D30" s="4">
        <f>18*$C$30*$B$30</f>
        <v>9450</v>
      </c>
      <c r="E30" s="4">
        <f>39*$C$30*$B$30</f>
        <v>20475</v>
      </c>
      <c r="F30" s="4">
        <f>40*$C$30*$B$30</f>
        <v>21000</v>
      </c>
      <c r="G30" s="4">
        <f>25*$C$30*$B$30</f>
        <v>13125</v>
      </c>
      <c r="H30" s="4">
        <f>35*$C$30*$B$30</f>
        <v>18375</v>
      </c>
      <c r="I30" s="4">
        <f>30*$C$30*$B$30</f>
        <v>15750</v>
      </c>
      <c r="J30" s="4">
        <f>35*$C$30*$B$30</f>
        <v>18375</v>
      </c>
      <c r="K30" s="4">
        <f>35*$C$30*$B$30</f>
        <v>18375</v>
      </c>
      <c r="L30" s="4">
        <f>50*$C$30*$B$30</f>
        <v>26250</v>
      </c>
      <c r="M30" s="4">
        <f>30*$C$30*$B$30</f>
        <v>15750</v>
      </c>
      <c r="N30" s="4">
        <f>16*$C$30*$B$30</f>
        <v>8400</v>
      </c>
      <c r="O30" s="4">
        <f>14*$C$30*$B$30</f>
        <v>7350</v>
      </c>
      <c r="P30" s="6">
        <f t="shared" si="9"/>
        <v>192675</v>
      </c>
    </row>
    <row r="31" spans="1:16">
      <c r="A31" s="3" t="s">
        <v>29</v>
      </c>
      <c r="B31" s="5"/>
      <c r="C31" s="5"/>
      <c r="D31" s="4">
        <f t="shared" ref="D31:O31" si="13">D22+D23+D24+D25+D26+D27+D28+D29+D30</f>
        <v>60317.5</v>
      </c>
      <c r="E31" s="4">
        <f t="shared" si="13"/>
        <v>78855</v>
      </c>
      <c r="F31" s="4">
        <f t="shared" si="13"/>
        <v>92190</v>
      </c>
      <c r="G31" s="4">
        <f t="shared" si="13"/>
        <v>77490</v>
      </c>
      <c r="H31" s="4">
        <f t="shared" si="13"/>
        <v>94710</v>
      </c>
      <c r="I31" s="4">
        <f t="shared" si="13"/>
        <v>58065</v>
      </c>
      <c r="J31" s="4">
        <f t="shared" si="13"/>
        <v>75022.5</v>
      </c>
      <c r="K31" s="4">
        <f t="shared" si="13"/>
        <v>78750</v>
      </c>
      <c r="L31" s="4">
        <f t="shared" si="13"/>
        <v>91455</v>
      </c>
      <c r="M31" s="4">
        <f t="shared" si="13"/>
        <v>80062.5</v>
      </c>
      <c r="N31" s="4">
        <f t="shared" si="13"/>
        <v>81900</v>
      </c>
      <c r="O31" s="4">
        <f t="shared" si="13"/>
        <v>80325</v>
      </c>
      <c r="P31" s="6">
        <f t="shared" si="9"/>
        <v>949142.5</v>
      </c>
    </row>
    <row r="32" spans="1:16">
      <c r="A32" s="3" t="s">
        <v>30</v>
      </c>
      <c r="B32" s="5"/>
      <c r="C32" s="5"/>
      <c r="D32" s="4">
        <f>D22+D23+D24+D25+D26+E27+D28+D29+D30</f>
        <v>58642.5</v>
      </c>
      <c r="E32" s="4">
        <f t="shared" ref="E32:N32" si="14">E22+E23+E24+E25+E26+F27+E28+E29+E30</f>
        <v>82005</v>
      </c>
      <c r="F32" s="4">
        <f t="shared" si="14"/>
        <v>93765</v>
      </c>
      <c r="G32" s="4">
        <f t="shared" si="14"/>
        <v>80640</v>
      </c>
      <c r="H32" s="4">
        <f t="shared" si="14"/>
        <v>89985</v>
      </c>
      <c r="I32" s="4">
        <f t="shared" si="14"/>
        <v>54915</v>
      </c>
      <c r="J32" s="4">
        <f t="shared" si="14"/>
        <v>78172.5</v>
      </c>
      <c r="K32" s="4">
        <f t="shared" si="14"/>
        <v>77175</v>
      </c>
      <c r="L32" s="4">
        <f t="shared" si="14"/>
        <v>91455</v>
      </c>
      <c r="M32" s="4">
        <f t="shared" si="14"/>
        <v>81637.5</v>
      </c>
      <c r="N32" s="4">
        <f t="shared" si="14"/>
        <v>78750</v>
      </c>
      <c r="O32" s="4">
        <f>O22+O23+O24+O25+O26+D45+O28+O29+O30</f>
        <v>81900</v>
      </c>
      <c r="P32" s="6">
        <f t="shared" si="9"/>
        <v>949042.5</v>
      </c>
    </row>
    <row r="33" spans="1:30">
      <c r="A33" s="3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/>
    </row>
    <row r="34" spans="1:30">
      <c r="A34" s="3" t="s">
        <v>31</v>
      </c>
      <c r="B34" s="5"/>
      <c r="C34" s="5"/>
      <c r="D34" s="4">
        <f>D32*1.05</f>
        <v>61574.625</v>
      </c>
      <c r="E34" s="4">
        <f t="shared" ref="E34:O34" si="15">E32*1.05</f>
        <v>86105.25</v>
      </c>
      <c r="F34" s="4">
        <f t="shared" si="15"/>
        <v>98453.25</v>
      </c>
      <c r="G34" s="4">
        <f t="shared" si="15"/>
        <v>84672</v>
      </c>
      <c r="H34" s="4">
        <f t="shared" si="15"/>
        <v>94484.25</v>
      </c>
      <c r="I34" s="4">
        <f t="shared" si="15"/>
        <v>57660.75</v>
      </c>
      <c r="J34" s="4">
        <f t="shared" si="15"/>
        <v>82081.125</v>
      </c>
      <c r="K34" s="4">
        <f t="shared" si="15"/>
        <v>81033.75</v>
      </c>
      <c r="L34" s="4">
        <f t="shared" si="15"/>
        <v>96027.75</v>
      </c>
      <c r="M34" s="4">
        <f t="shared" si="15"/>
        <v>85719.375</v>
      </c>
      <c r="N34" s="4">
        <f t="shared" si="15"/>
        <v>82687.5</v>
      </c>
      <c r="O34" s="4">
        <f t="shared" si="15"/>
        <v>85995</v>
      </c>
      <c r="P34" s="6">
        <f>SUM(D34:O34)</f>
        <v>996494.625</v>
      </c>
    </row>
    <row r="35" spans="1:30">
      <c r="A35" s="3" t="s">
        <v>32</v>
      </c>
      <c r="B35" s="5"/>
      <c r="C35" s="5"/>
      <c r="D35" s="4">
        <f>D34*1.1</f>
        <v>67732.087500000009</v>
      </c>
      <c r="E35" s="4">
        <f t="shared" ref="E35:O35" si="16">E34*1.1</f>
        <v>94715.775000000009</v>
      </c>
      <c r="F35" s="4">
        <f t="shared" si="16"/>
        <v>108298.57500000001</v>
      </c>
      <c r="G35" s="4">
        <f t="shared" si="16"/>
        <v>93139.200000000012</v>
      </c>
      <c r="H35" s="4">
        <f t="shared" si="16"/>
        <v>103932.675</v>
      </c>
      <c r="I35" s="4">
        <f t="shared" si="16"/>
        <v>63426.825000000004</v>
      </c>
      <c r="J35" s="4">
        <f t="shared" si="16"/>
        <v>90289.237500000003</v>
      </c>
      <c r="K35" s="4">
        <f t="shared" si="16"/>
        <v>89137.125</v>
      </c>
      <c r="L35" s="4">
        <f t="shared" si="16"/>
        <v>105630.52500000001</v>
      </c>
      <c r="M35" s="4">
        <f t="shared" si="16"/>
        <v>94291.312500000015</v>
      </c>
      <c r="N35" s="4">
        <f t="shared" si="16"/>
        <v>90956.250000000015</v>
      </c>
      <c r="O35" s="4">
        <f t="shared" si="16"/>
        <v>94594.500000000015</v>
      </c>
      <c r="P35" s="6">
        <f>SUM(D35:O35)</f>
        <v>1096144.0875000001</v>
      </c>
    </row>
    <row r="38" spans="1:30">
      <c r="A38" s="7">
        <v>2022</v>
      </c>
    </row>
    <row r="39" spans="1:30" ht="28.15">
      <c r="A39" s="2" t="s">
        <v>4</v>
      </c>
      <c r="B39" s="2" t="s">
        <v>5</v>
      </c>
      <c r="C39" s="2" t="s">
        <v>6</v>
      </c>
      <c r="D39" s="2" t="s">
        <v>7</v>
      </c>
      <c r="E39" s="2" t="s">
        <v>8</v>
      </c>
      <c r="F39" s="2" t="s">
        <v>9</v>
      </c>
      <c r="G39" s="2" t="s">
        <v>10</v>
      </c>
      <c r="H39" s="2" t="s">
        <v>11</v>
      </c>
      <c r="I39" s="2" t="s">
        <v>12</v>
      </c>
      <c r="J39" s="2" t="s">
        <v>13</v>
      </c>
      <c r="K39" s="2" t="s">
        <v>14</v>
      </c>
      <c r="L39" s="2" t="s">
        <v>15</v>
      </c>
      <c r="M39" s="2" t="s">
        <v>16</v>
      </c>
      <c r="N39" s="2" t="s">
        <v>17</v>
      </c>
      <c r="O39" s="2" t="s">
        <v>18</v>
      </c>
      <c r="P39" s="2" t="s">
        <v>19</v>
      </c>
      <c r="S39" s="8" t="s">
        <v>7</v>
      </c>
      <c r="T39" s="8" t="s">
        <v>8</v>
      </c>
      <c r="U39" s="9" t="s">
        <v>9</v>
      </c>
      <c r="V39" s="9" t="s">
        <v>10</v>
      </c>
      <c r="W39" s="9" t="s">
        <v>11</v>
      </c>
      <c r="X39" s="9" t="s">
        <v>12</v>
      </c>
      <c r="Y39" s="9" t="s">
        <v>13</v>
      </c>
      <c r="Z39" s="9" t="s">
        <v>14</v>
      </c>
      <c r="AA39" s="9" t="s">
        <v>15</v>
      </c>
      <c r="AB39" s="9" t="s">
        <v>16</v>
      </c>
      <c r="AC39" s="9" t="s">
        <v>17</v>
      </c>
      <c r="AD39" s="9" t="s">
        <v>18</v>
      </c>
    </row>
    <row r="40" spans="1:30">
      <c r="A40" s="3" t="s">
        <v>20</v>
      </c>
      <c r="B40" s="4">
        <v>165.38</v>
      </c>
      <c r="C40" s="5">
        <v>1</v>
      </c>
      <c r="D40" s="4">
        <f t="shared" ref="D40:O40" si="17">S40*$C$40*$B$40</f>
        <v>4961.3999999999996</v>
      </c>
      <c r="E40" s="4">
        <f t="shared" si="17"/>
        <v>4961.3999999999996</v>
      </c>
      <c r="F40" s="4">
        <f t="shared" si="17"/>
        <v>9922.7999999999993</v>
      </c>
      <c r="G40" s="4">
        <f t="shared" si="17"/>
        <v>8269</v>
      </c>
      <c r="H40" s="4">
        <f t="shared" si="17"/>
        <v>9922.7999999999993</v>
      </c>
      <c r="I40" s="4">
        <f t="shared" si="17"/>
        <v>5788.3</v>
      </c>
      <c r="J40" s="4">
        <f t="shared" si="17"/>
        <v>8269</v>
      </c>
      <c r="K40" s="4">
        <f t="shared" si="17"/>
        <v>6615.2</v>
      </c>
      <c r="L40" s="4">
        <f t="shared" si="17"/>
        <v>6615.2</v>
      </c>
      <c r="M40" s="4">
        <f t="shared" si="17"/>
        <v>7442.0999999999995</v>
      </c>
      <c r="N40" s="4">
        <f t="shared" si="17"/>
        <v>8269</v>
      </c>
      <c r="O40" s="4">
        <f t="shared" si="17"/>
        <v>11576.6</v>
      </c>
      <c r="P40" s="6">
        <f>SUM(D40:O40)</f>
        <v>92612.800000000003</v>
      </c>
      <c r="S40">
        <v>30</v>
      </c>
      <c r="T40">
        <v>30</v>
      </c>
      <c r="U40">
        <v>60</v>
      </c>
      <c r="V40">
        <v>50</v>
      </c>
      <c r="W40">
        <v>60</v>
      </c>
      <c r="X40">
        <v>35</v>
      </c>
      <c r="Y40">
        <v>50</v>
      </c>
      <c r="Z40">
        <v>40</v>
      </c>
      <c r="AA40">
        <v>40</v>
      </c>
      <c r="AB40">
        <v>45</v>
      </c>
      <c r="AC40">
        <v>50</v>
      </c>
      <c r="AD40">
        <v>70</v>
      </c>
    </row>
    <row r="41" spans="1:30">
      <c r="A41" s="3" t="s">
        <v>21</v>
      </c>
      <c r="B41" s="4">
        <v>220.5</v>
      </c>
      <c r="C41" s="5">
        <v>1</v>
      </c>
      <c r="D41" s="4">
        <f t="shared" ref="D41:O41" si="18">S41*$C$41*$B$41</f>
        <v>4410</v>
      </c>
      <c r="E41" s="4">
        <f t="shared" si="18"/>
        <v>4410</v>
      </c>
      <c r="F41" s="4">
        <f t="shared" si="18"/>
        <v>9922.5</v>
      </c>
      <c r="G41" s="4">
        <f t="shared" si="18"/>
        <v>6615</v>
      </c>
      <c r="H41" s="4">
        <f t="shared" si="18"/>
        <v>8820</v>
      </c>
      <c r="I41" s="4">
        <f t="shared" si="18"/>
        <v>6615</v>
      </c>
      <c r="J41" s="4">
        <f t="shared" si="18"/>
        <v>0</v>
      </c>
      <c r="K41" s="4">
        <f t="shared" si="18"/>
        <v>4410</v>
      </c>
      <c r="L41" s="4">
        <f t="shared" si="18"/>
        <v>6174</v>
      </c>
      <c r="M41" s="4">
        <f t="shared" si="18"/>
        <v>6174</v>
      </c>
      <c r="N41" s="4">
        <f t="shared" si="18"/>
        <v>9922.5</v>
      </c>
      <c r="O41" s="4">
        <f t="shared" si="18"/>
        <v>9922.5</v>
      </c>
      <c r="P41" s="6">
        <f>SUM(D41:O41)</f>
        <v>77395.5</v>
      </c>
      <c r="S41">
        <v>20</v>
      </c>
      <c r="T41">
        <v>20</v>
      </c>
      <c r="U41">
        <v>45</v>
      </c>
      <c r="V41">
        <v>30</v>
      </c>
      <c r="W41">
        <v>40</v>
      </c>
      <c r="X41">
        <v>30</v>
      </c>
      <c r="Y41">
        <v>0</v>
      </c>
      <c r="Z41">
        <v>20</v>
      </c>
      <c r="AA41">
        <v>28</v>
      </c>
      <c r="AB41">
        <v>28</v>
      </c>
      <c r="AC41">
        <v>45</v>
      </c>
      <c r="AD41">
        <v>45</v>
      </c>
    </row>
    <row r="42" spans="1:30">
      <c r="A42" s="3" t="s">
        <v>22</v>
      </c>
      <c r="B42" s="4">
        <v>330.75</v>
      </c>
      <c r="C42" s="5">
        <v>1</v>
      </c>
      <c r="D42" s="4">
        <f t="shared" ref="D42:O42" si="19">S42*$C$42*$B$42</f>
        <v>8268.75</v>
      </c>
      <c r="E42" s="4">
        <f t="shared" si="19"/>
        <v>6615</v>
      </c>
      <c r="F42" s="4">
        <f t="shared" si="19"/>
        <v>11576.25</v>
      </c>
      <c r="G42" s="4">
        <f t="shared" si="19"/>
        <v>8268.75</v>
      </c>
      <c r="H42" s="4">
        <f t="shared" si="19"/>
        <v>6615</v>
      </c>
      <c r="I42" s="4">
        <f t="shared" si="19"/>
        <v>4961.25</v>
      </c>
      <c r="J42" s="4">
        <f t="shared" si="19"/>
        <v>9922.5</v>
      </c>
      <c r="K42" s="4">
        <f t="shared" si="19"/>
        <v>8268.75</v>
      </c>
      <c r="L42" s="4">
        <f t="shared" si="19"/>
        <v>7607.25</v>
      </c>
      <c r="M42" s="4">
        <f t="shared" si="19"/>
        <v>8268.75</v>
      </c>
      <c r="N42" s="4">
        <f t="shared" si="19"/>
        <v>8268.75</v>
      </c>
      <c r="O42" s="4">
        <f t="shared" si="19"/>
        <v>6615</v>
      </c>
      <c r="P42" s="6">
        <f>SUM(D42:O42)</f>
        <v>95256</v>
      </c>
      <c r="S42">
        <v>25</v>
      </c>
      <c r="T42">
        <v>20</v>
      </c>
      <c r="U42">
        <v>35</v>
      </c>
      <c r="V42">
        <v>25</v>
      </c>
      <c r="W42">
        <v>20</v>
      </c>
      <c r="X42">
        <v>15</v>
      </c>
      <c r="Y42">
        <v>30</v>
      </c>
      <c r="Z42">
        <v>25</v>
      </c>
      <c r="AA42">
        <v>23</v>
      </c>
      <c r="AB42">
        <v>25</v>
      </c>
      <c r="AC42">
        <v>25</v>
      </c>
      <c r="AD42">
        <v>20</v>
      </c>
    </row>
    <row r="43" spans="1:30">
      <c r="A43" s="3" t="s">
        <v>23</v>
      </c>
      <c r="B43" s="4">
        <v>220.5</v>
      </c>
      <c r="C43" s="5">
        <v>1</v>
      </c>
      <c r="D43" s="4">
        <f t="shared" ref="D43:O43" si="20">S43*$C$43*$B$43</f>
        <v>13230</v>
      </c>
      <c r="E43" s="4">
        <f t="shared" si="20"/>
        <v>16978.5</v>
      </c>
      <c r="F43" s="4">
        <f t="shared" si="20"/>
        <v>22050</v>
      </c>
      <c r="G43" s="4">
        <f t="shared" si="20"/>
        <v>19845</v>
      </c>
      <c r="H43" s="4">
        <f t="shared" si="20"/>
        <v>17640</v>
      </c>
      <c r="I43" s="4">
        <f t="shared" si="20"/>
        <v>13230</v>
      </c>
      <c r="J43" s="4">
        <f t="shared" si="20"/>
        <v>17640</v>
      </c>
      <c r="K43" s="4">
        <f t="shared" si="20"/>
        <v>14332.5</v>
      </c>
      <c r="L43" s="4">
        <f t="shared" si="20"/>
        <v>16537.5</v>
      </c>
      <c r="M43" s="4">
        <f t="shared" si="20"/>
        <v>16537.5</v>
      </c>
      <c r="N43" s="4">
        <f t="shared" si="20"/>
        <v>11025</v>
      </c>
      <c r="O43" s="4">
        <f t="shared" si="20"/>
        <v>8820</v>
      </c>
      <c r="P43" s="6">
        <f>SUM(D43:O43)</f>
        <v>187866</v>
      </c>
      <c r="S43">
        <v>60</v>
      </c>
      <c r="T43">
        <v>77</v>
      </c>
      <c r="U43">
        <v>100</v>
      </c>
      <c r="V43">
        <v>90</v>
      </c>
      <c r="W43">
        <v>80</v>
      </c>
      <c r="X43">
        <v>60</v>
      </c>
      <c r="Y43">
        <v>80</v>
      </c>
      <c r="Z43">
        <v>65</v>
      </c>
      <c r="AA43">
        <v>75</v>
      </c>
      <c r="AB43">
        <v>75</v>
      </c>
      <c r="AC43">
        <v>50</v>
      </c>
      <c r="AD43">
        <v>40</v>
      </c>
    </row>
    <row r="44" spans="1:30">
      <c r="A44" s="3" t="s">
        <v>24</v>
      </c>
      <c r="B44" s="4">
        <f>3307.5/2</f>
        <v>1653.75</v>
      </c>
      <c r="C44" s="5">
        <v>1</v>
      </c>
      <c r="D44" s="4">
        <f t="shared" ref="D44:O44" si="21">S44*$C$44*$B$44</f>
        <v>8268.75</v>
      </c>
      <c r="E44" s="4">
        <f t="shared" si="21"/>
        <v>6615</v>
      </c>
      <c r="F44" s="4">
        <f t="shared" si="21"/>
        <v>4961.25</v>
      </c>
      <c r="G44" s="4">
        <f t="shared" si="21"/>
        <v>6615</v>
      </c>
      <c r="H44" s="4">
        <f t="shared" si="21"/>
        <v>4961.25</v>
      </c>
      <c r="I44" s="4">
        <f t="shared" si="21"/>
        <v>3307.5</v>
      </c>
      <c r="J44" s="4">
        <f t="shared" si="21"/>
        <v>3307.5</v>
      </c>
      <c r="K44" s="4">
        <f t="shared" si="21"/>
        <v>4961.25</v>
      </c>
      <c r="L44" s="4">
        <f t="shared" si="21"/>
        <v>6615</v>
      </c>
      <c r="M44" s="4">
        <f t="shared" si="21"/>
        <v>8268.75</v>
      </c>
      <c r="N44" s="4">
        <f t="shared" si="21"/>
        <v>4961.25</v>
      </c>
      <c r="O44" s="4">
        <f t="shared" si="21"/>
        <v>3307.5</v>
      </c>
      <c r="P44" s="6">
        <f>SUM(D44:O44)</f>
        <v>66150</v>
      </c>
      <c r="S44">
        <v>5</v>
      </c>
      <c r="T44">
        <v>4</v>
      </c>
      <c r="U44">
        <v>3</v>
      </c>
      <c r="V44">
        <v>4</v>
      </c>
      <c r="W44">
        <v>3</v>
      </c>
      <c r="X44">
        <v>2</v>
      </c>
      <c r="Y44">
        <v>2</v>
      </c>
      <c r="Z44">
        <v>3</v>
      </c>
      <c r="AA44">
        <v>4</v>
      </c>
      <c r="AB44">
        <v>5</v>
      </c>
      <c r="AC44">
        <v>3</v>
      </c>
      <c r="AD44">
        <v>2</v>
      </c>
    </row>
    <row r="45" spans="1:30">
      <c r="A45" s="3" t="s">
        <v>25</v>
      </c>
      <c r="B45" s="4">
        <f>B44</f>
        <v>1653.75</v>
      </c>
      <c r="C45" s="5">
        <v>1</v>
      </c>
      <c r="D45" s="4">
        <f>O26</f>
        <v>6300</v>
      </c>
      <c r="E45" s="4">
        <f t="shared" ref="E45:O45" si="22">D44</f>
        <v>8268.75</v>
      </c>
      <c r="F45" s="4">
        <f t="shared" si="22"/>
        <v>6615</v>
      </c>
      <c r="G45" s="4">
        <f t="shared" si="22"/>
        <v>4961.25</v>
      </c>
      <c r="H45" s="4">
        <f t="shared" si="22"/>
        <v>6615</v>
      </c>
      <c r="I45" s="4">
        <f t="shared" si="22"/>
        <v>4961.25</v>
      </c>
      <c r="J45" s="4">
        <f t="shared" si="22"/>
        <v>3307.5</v>
      </c>
      <c r="K45" s="4">
        <f t="shared" si="22"/>
        <v>3307.5</v>
      </c>
      <c r="L45" s="4">
        <f t="shared" si="22"/>
        <v>4961.25</v>
      </c>
      <c r="M45" s="4">
        <f t="shared" si="22"/>
        <v>6615</v>
      </c>
      <c r="N45" s="4">
        <f t="shared" si="22"/>
        <v>8268.75</v>
      </c>
      <c r="O45" s="4">
        <f t="shared" si="22"/>
        <v>4961.25</v>
      </c>
      <c r="P45" s="6">
        <f t="shared" ref="P45:P51" si="23">SUM(D45:O45)</f>
        <v>69142.5</v>
      </c>
    </row>
    <row r="46" spans="1:30">
      <c r="A46" s="3" t="s">
        <v>26</v>
      </c>
      <c r="B46" s="4">
        <v>385.88</v>
      </c>
      <c r="C46" s="5">
        <v>1</v>
      </c>
      <c r="D46" s="4">
        <f t="shared" ref="D46:O46" si="24">S46*$C$46*$B$46</f>
        <v>9647</v>
      </c>
      <c r="E46" s="4">
        <f t="shared" si="24"/>
        <v>8489.36</v>
      </c>
      <c r="F46" s="4">
        <f t="shared" si="24"/>
        <v>11576.4</v>
      </c>
      <c r="G46" s="4">
        <f t="shared" si="24"/>
        <v>7717.6</v>
      </c>
      <c r="H46" s="4">
        <f t="shared" si="24"/>
        <v>11576.4</v>
      </c>
      <c r="I46" s="4">
        <f t="shared" si="24"/>
        <v>6945.84</v>
      </c>
      <c r="J46" s="4">
        <f t="shared" si="24"/>
        <v>7717.6</v>
      </c>
      <c r="K46" s="4">
        <f t="shared" si="24"/>
        <v>9647</v>
      </c>
      <c r="L46" s="4">
        <f t="shared" si="24"/>
        <v>0</v>
      </c>
      <c r="M46" s="4">
        <f t="shared" si="24"/>
        <v>0</v>
      </c>
      <c r="N46" s="4">
        <f t="shared" si="24"/>
        <v>0</v>
      </c>
      <c r="O46" s="4">
        <f t="shared" si="24"/>
        <v>11576.4</v>
      </c>
      <c r="P46" s="6">
        <f t="shared" si="23"/>
        <v>84893.6</v>
      </c>
      <c r="S46">
        <v>25</v>
      </c>
      <c r="T46">
        <v>22</v>
      </c>
      <c r="U46">
        <v>30</v>
      </c>
      <c r="V46">
        <v>20</v>
      </c>
      <c r="W46">
        <v>30</v>
      </c>
      <c r="X46">
        <v>18</v>
      </c>
      <c r="Y46">
        <v>20</v>
      </c>
      <c r="Z46">
        <v>25</v>
      </c>
      <c r="AA46">
        <v>0</v>
      </c>
      <c r="AB46">
        <v>0</v>
      </c>
      <c r="AC46">
        <v>0</v>
      </c>
      <c r="AD46">
        <v>30</v>
      </c>
    </row>
    <row r="47" spans="1:30">
      <c r="A47" s="3" t="s">
        <v>27</v>
      </c>
      <c r="B47" s="4">
        <v>275.63</v>
      </c>
      <c r="C47" s="5">
        <v>1</v>
      </c>
      <c r="D47" s="4">
        <f t="shared" ref="D47:O47" si="25">S47*$C$47*$B$47</f>
        <v>6890.75</v>
      </c>
      <c r="E47" s="4">
        <f t="shared" si="25"/>
        <v>8268.9</v>
      </c>
      <c r="F47" s="4">
        <f t="shared" si="25"/>
        <v>6615.12</v>
      </c>
      <c r="G47" s="4">
        <f t="shared" si="25"/>
        <v>8268.9</v>
      </c>
      <c r="H47" s="4">
        <f t="shared" si="25"/>
        <v>11025.2</v>
      </c>
      <c r="I47" s="4">
        <f t="shared" si="25"/>
        <v>6890.75</v>
      </c>
      <c r="J47" s="4">
        <f t="shared" si="25"/>
        <v>11025.2</v>
      </c>
      <c r="K47" s="4">
        <f t="shared" si="25"/>
        <v>8268.9</v>
      </c>
      <c r="L47" s="4">
        <f t="shared" si="25"/>
        <v>16537.8</v>
      </c>
      <c r="M47" s="4">
        <f t="shared" si="25"/>
        <v>9647.0499999999993</v>
      </c>
      <c r="N47" s="4">
        <f t="shared" si="25"/>
        <v>9647.0499999999993</v>
      </c>
      <c r="O47" s="4">
        <f t="shared" si="25"/>
        <v>12403.35</v>
      </c>
      <c r="P47" s="6">
        <f t="shared" si="23"/>
        <v>115488.97</v>
      </c>
      <c r="S47">
        <v>25</v>
      </c>
      <c r="T47">
        <v>30</v>
      </c>
      <c r="U47">
        <v>24</v>
      </c>
      <c r="V47">
        <v>30</v>
      </c>
      <c r="W47">
        <v>40</v>
      </c>
      <c r="X47">
        <v>25</v>
      </c>
      <c r="Y47">
        <v>40</v>
      </c>
      <c r="Z47">
        <v>30</v>
      </c>
      <c r="AA47">
        <v>60</v>
      </c>
      <c r="AB47">
        <v>35</v>
      </c>
      <c r="AC47">
        <v>35</v>
      </c>
      <c r="AD47">
        <v>45</v>
      </c>
    </row>
    <row r="48" spans="1:30">
      <c r="A48" s="3" t="s">
        <v>28</v>
      </c>
      <c r="B48" s="4">
        <v>551.25</v>
      </c>
      <c r="C48" s="5">
        <v>1</v>
      </c>
      <c r="D48" s="4">
        <f t="shared" ref="D48:O48" si="26">S48*$C$48*$B$48</f>
        <v>13781.25</v>
      </c>
      <c r="E48" s="4">
        <f t="shared" si="26"/>
        <v>22050</v>
      </c>
      <c r="F48" s="4">
        <f t="shared" si="26"/>
        <v>16537.5</v>
      </c>
      <c r="G48" s="4">
        <f t="shared" si="26"/>
        <v>16537.5</v>
      </c>
      <c r="H48" s="4">
        <f t="shared" si="26"/>
        <v>16537.5</v>
      </c>
      <c r="I48" s="4">
        <f t="shared" si="26"/>
        <v>16537.5</v>
      </c>
      <c r="J48" s="4">
        <f t="shared" si="26"/>
        <v>16537.5</v>
      </c>
      <c r="K48" s="4">
        <f t="shared" si="26"/>
        <v>16537.5</v>
      </c>
      <c r="L48" s="4">
        <f t="shared" si="26"/>
        <v>26460</v>
      </c>
      <c r="M48" s="4">
        <f t="shared" si="26"/>
        <v>22050</v>
      </c>
      <c r="N48" s="4">
        <f t="shared" si="26"/>
        <v>22050</v>
      </c>
      <c r="O48" s="4">
        <f t="shared" si="26"/>
        <v>16537.5</v>
      </c>
      <c r="P48" s="6">
        <f t="shared" si="23"/>
        <v>222153.75</v>
      </c>
      <c r="S48">
        <v>25</v>
      </c>
      <c r="T48">
        <v>40</v>
      </c>
      <c r="U48">
        <v>30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48</v>
      </c>
      <c r="AB48">
        <v>40</v>
      </c>
      <c r="AC48">
        <v>40</v>
      </c>
      <c r="AD48">
        <v>30</v>
      </c>
    </row>
    <row r="49" spans="1:30">
      <c r="A49" s="3" t="s">
        <v>33</v>
      </c>
      <c r="B49" s="4">
        <v>610</v>
      </c>
      <c r="C49" s="5">
        <v>1</v>
      </c>
      <c r="D49" s="4">
        <f>S49*$C$49*$B$49</f>
        <v>4270</v>
      </c>
      <c r="E49" s="4">
        <f t="shared" ref="E49:O49" si="27">T49*$C$49*$B$49</f>
        <v>9760</v>
      </c>
      <c r="F49" s="4">
        <f t="shared" si="27"/>
        <v>10370</v>
      </c>
      <c r="G49" s="4">
        <f t="shared" si="27"/>
        <v>10370</v>
      </c>
      <c r="H49" s="4">
        <f t="shared" si="27"/>
        <v>12200</v>
      </c>
      <c r="I49" s="4">
        <f t="shared" si="27"/>
        <v>10980</v>
      </c>
      <c r="J49" s="4">
        <f t="shared" si="27"/>
        <v>12200</v>
      </c>
      <c r="K49" s="4">
        <f t="shared" si="27"/>
        <v>12810</v>
      </c>
      <c r="L49" s="4">
        <f t="shared" si="27"/>
        <v>12810</v>
      </c>
      <c r="M49" s="4">
        <f t="shared" si="27"/>
        <v>14030</v>
      </c>
      <c r="N49" s="4">
        <f t="shared" si="27"/>
        <v>14640</v>
      </c>
      <c r="O49" s="4">
        <f t="shared" si="27"/>
        <v>10370</v>
      </c>
      <c r="P49" s="6">
        <f>SUM(D49:O49)</f>
        <v>134810</v>
      </c>
      <c r="S49">
        <v>7</v>
      </c>
      <c r="T49">
        <v>16</v>
      </c>
      <c r="U49">
        <v>17</v>
      </c>
      <c r="V49">
        <v>17</v>
      </c>
      <c r="W49">
        <v>20</v>
      </c>
      <c r="X49">
        <v>18</v>
      </c>
      <c r="Y49">
        <v>20</v>
      </c>
      <c r="Z49">
        <v>21</v>
      </c>
      <c r="AA49">
        <v>21</v>
      </c>
      <c r="AB49">
        <v>23</v>
      </c>
      <c r="AC49">
        <v>24</v>
      </c>
      <c r="AD49">
        <v>17</v>
      </c>
    </row>
    <row r="50" spans="1:30">
      <c r="A50" s="3" t="s">
        <v>29</v>
      </c>
      <c r="B50" s="5"/>
      <c r="C50" s="5"/>
      <c r="D50" s="4">
        <f>D40+D41+D42+D43+D44+D46+D47+D48+D45+D49</f>
        <v>80027.899999999994</v>
      </c>
      <c r="E50" s="4">
        <f t="shared" ref="E50:O50" si="28">E40+E41+E42+E43+E44+E46+E47+E48+E45+E49</f>
        <v>96416.91</v>
      </c>
      <c r="F50" s="4">
        <f t="shared" si="28"/>
        <v>110146.81999999999</v>
      </c>
      <c r="G50" s="4">
        <f t="shared" si="28"/>
        <v>97468</v>
      </c>
      <c r="H50" s="4">
        <f t="shared" si="28"/>
        <v>105913.15000000001</v>
      </c>
      <c r="I50" s="4">
        <f t="shared" si="28"/>
        <v>80217.39</v>
      </c>
      <c r="J50" s="4">
        <f t="shared" si="28"/>
        <v>89926.8</v>
      </c>
      <c r="K50" s="4">
        <f t="shared" si="28"/>
        <v>89158.6</v>
      </c>
      <c r="L50" s="4">
        <f t="shared" si="28"/>
        <v>104318</v>
      </c>
      <c r="M50" s="4">
        <f t="shared" si="28"/>
        <v>99033.15</v>
      </c>
      <c r="N50" s="4">
        <f t="shared" si="28"/>
        <v>97052.3</v>
      </c>
      <c r="O50" s="4">
        <f t="shared" si="28"/>
        <v>96090.1</v>
      </c>
      <c r="P50" s="10">
        <f t="shared" si="23"/>
        <v>1145769.1200000001</v>
      </c>
    </row>
    <row r="51" spans="1:30">
      <c r="A51" s="3" t="s">
        <v>30</v>
      </c>
      <c r="B51" s="5"/>
      <c r="C51" s="5"/>
      <c r="D51" s="4">
        <f>D40+D41+D42+D43+D44+E45+D46+D47+D48+D49</f>
        <v>81996.649999999994</v>
      </c>
      <c r="E51" s="4">
        <f t="shared" ref="E51:N51" si="29">E40+E41+E42+E43+E44+F45+E46+E47+E48+E49</f>
        <v>94763.16</v>
      </c>
      <c r="F51" s="4">
        <f t="shared" si="29"/>
        <v>108493.06999999999</v>
      </c>
      <c r="G51" s="4">
        <f t="shared" si="29"/>
        <v>99121.75</v>
      </c>
      <c r="H51" s="4">
        <f t="shared" si="29"/>
        <v>104259.40000000001</v>
      </c>
      <c r="I51" s="4">
        <f t="shared" si="29"/>
        <v>78563.64</v>
      </c>
      <c r="J51" s="4">
        <f t="shared" si="29"/>
        <v>89926.8</v>
      </c>
      <c r="K51" s="4">
        <f t="shared" si="29"/>
        <v>90812.35</v>
      </c>
      <c r="L51" s="4">
        <f t="shared" si="29"/>
        <v>105971.75</v>
      </c>
      <c r="M51" s="4">
        <f t="shared" si="29"/>
        <v>100686.9</v>
      </c>
      <c r="N51" s="4">
        <f t="shared" si="29"/>
        <v>93744.8</v>
      </c>
      <c r="O51" s="4">
        <f>O40+O41+O42+O43+O44+O46+O47+O48+O49+D64</f>
        <v>94436.35</v>
      </c>
      <c r="P51" s="10">
        <f t="shared" si="23"/>
        <v>1142776.6200000001</v>
      </c>
    </row>
    <row r="52" spans="1:30">
      <c r="A52" s="3"/>
      <c r="B52" s="5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/>
    </row>
    <row r="53" spans="1:30">
      <c r="A53" s="3" t="s">
        <v>31</v>
      </c>
      <c r="B53" s="5"/>
      <c r="C53" s="5"/>
      <c r="D53" s="4">
        <f>D51*1.05</f>
        <v>86096.482499999998</v>
      </c>
      <c r="E53" s="4">
        <f t="shared" ref="E53:O53" si="30">E51*1.05</f>
        <v>99501.318000000014</v>
      </c>
      <c r="F53" s="4">
        <f t="shared" si="30"/>
        <v>113917.72349999999</v>
      </c>
      <c r="G53" s="4">
        <f t="shared" si="30"/>
        <v>104077.83750000001</v>
      </c>
      <c r="H53" s="4">
        <f t="shared" si="30"/>
        <v>109472.37000000001</v>
      </c>
      <c r="I53" s="4">
        <f t="shared" si="30"/>
        <v>82491.822</v>
      </c>
      <c r="J53" s="4">
        <f t="shared" si="30"/>
        <v>94423.140000000014</v>
      </c>
      <c r="K53" s="4">
        <f t="shared" si="30"/>
        <v>95352.967500000013</v>
      </c>
      <c r="L53" s="4">
        <f t="shared" si="30"/>
        <v>111270.33750000001</v>
      </c>
      <c r="M53" s="4">
        <f t="shared" si="30"/>
        <v>105721.245</v>
      </c>
      <c r="N53" s="4">
        <f t="shared" si="30"/>
        <v>98432.040000000008</v>
      </c>
      <c r="O53" s="4">
        <f t="shared" si="30"/>
        <v>99158.16750000001</v>
      </c>
      <c r="P53" s="6">
        <f>SUM(D53:O53)</f>
        <v>1199915.4510000001</v>
      </c>
    </row>
    <row r="54" spans="1:30">
      <c r="A54" s="3" t="s">
        <v>32</v>
      </c>
      <c r="B54" s="5"/>
      <c r="C54" s="5"/>
      <c r="D54" s="4">
        <f>D53*1.1</f>
        <v>94706.130750000011</v>
      </c>
      <c r="E54" s="4">
        <f t="shared" ref="E54:O54" si="31">E53*1.1</f>
        <v>109451.44980000003</v>
      </c>
      <c r="F54" s="4">
        <f t="shared" si="31"/>
        <v>125309.49585000001</v>
      </c>
      <c r="G54" s="4">
        <f t="shared" si="31"/>
        <v>114485.62125000003</v>
      </c>
      <c r="H54" s="4">
        <f t="shared" si="31"/>
        <v>120419.60700000002</v>
      </c>
      <c r="I54" s="4">
        <f t="shared" si="31"/>
        <v>90741.00420000001</v>
      </c>
      <c r="J54" s="4">
        <f t="shared" si="31"/>
        <v>103865.45400000003</v>
      </c>
      <c r="K54" s="4">
        <f t="shared" si="31"/>
        <v>104888.26425000002</v>
      </c>
      <c r="L54" s="4">
        <f t="shared" si="31"/>
        <v>122397.37125000003</v>
      </c>
      <c r="M54" s="4">
        <f t="shared" si="31"/>
        <v>116293.3695</v>
      </c>
      <c r="N54" s="4">
        <f t="shared" si="31"/>
        <v>108275.24400000002</v>
      </c>
      <c r="O54" s="4">
        <f t="shared" si="31"/>
        <v>109073.98425000002</v>
      </c>
      <c r="P54" s="6">
        <f>SUM(D54:O54)</f>
        <v>1319906.9961000001</v>
      </c>
    </row>
    <row r="57" spans="1:30">
      <c r="A57" s="7">
        <v>2023</v>
      </c>
    </row>
    <row r="58" spans="1:30" ht="28.15">
      <c r="A58" s="2" t="s">
        <v>4</v>
      </c>
      <c r="B58" s="2" t="s">
        <v>5</v>
      </c>
      <c r="C58" s="2" t="s">
        <v>6</v>
      </c>
      <c r="D58" s="2" t="s">
        <v>7</v>
      </c>
      <c r="E58" s="2" t="s">
        <v>8</v>
      </c>
      <c r="F58" s="2" t="s">
        <v>9</v>
      </c>
      <c r="G58" s="2" t="s">
        <v>10</v>
      </c>
      <c r="H58" s="2" t="s">
        <v>11</v>
      </c>
      <c r="I58" s="2" t="s">
        <v>12</v>
      </c>
      <c r="J58" s="2" t="s">
        <v>13</v>
      </c>
      <c r="K58" s="2" t="s">
        <v>14</v>
      </c>
      <c r="L58" s="2" t="s">
        <v>15</v>
      </c>
      <c r="M58" s="2" t="s">
        <v>16</v>
      </c>
      <c r="N58" s="2" t="s">
        <v>17</v>
      </c>
      <c r="O58" s="2" t="s">
        <v>18</v>
      </c>
      <c r="P58" s="2" t="s">
        <v>19</v>
      </c>
      <c r="S58" s="8" t="s">
        <v>7</v>
      </c>
      <c r="T58" s="8" t="s">
        <v>8</v>
      </c>
      <c r="U58" s="9" t="s">
        <v>9</v>
      </c>
      <c r="V58" s="9" t="s">
        <v>10</v>
      </c>
      <c r="W58" s="9" t="s">
        <v>11</v>
      </c>
      <c r="X58" s="9" t="s">
        <v>12</v>
      </c>
      <c r="Y58" s="9" t="s">
        <v>13</v>
      </c>
      <c r="Z58" s="9" t="s">
        <v>14</v>
      </c>
      <c r="AA58" s="9" t="s">
        <v>15</v>
      </c>
      <c r="AB58" s="9" t="s">
        <v>16</v>
      </c>
      <c r="AC58" s="9" t="s">
        <v>17</v>
      </c>
      <c r="AD58" s="9" t="s">
        <v>18</v>
      </c>
    </row>
    <row r="59" spans="1:30">
      <c r="A59" s="3" t="s">
        <v>20</v>
      </c>
      <c r="B59" s="4">
        <v>173.64</v>
      </c>
      <c r="C59" s="5">
        <v>1</v>
      </c>
      <c r="D59" s="4">
        <f>S59*$C$59*$B$59</f>
        <v>7813.7999999999993</v>
      </c>
      <c r="E59" s="4">
        <f t="shared" ref="E59:O59" si="32">T59*$C$59*$B$59</f>
        <v>7813.7999999999993</v>
      </c>
      <c r="F59" s="4">
        <f t="shared" si="32"/>
        <v>7813.7999999999993</v>
      </c>
      <c r="G59" s="4">
        <f t="shared" si="32"/>
        <v>8682</v>
      </c>
      <c r="H59" s="4">
        <f t="shared" si="32"/>
        <v>9029.2799999999988</v>
      </c>
      <c r="I59" s="4">
        <f t="shared" si="32"/>
        <v>6077.4</v>
      </c>
      <c r="J59" s="4">
        <f t="shared" si="32"/>
        <v>6945.5999999999995</v>
      </c>
      <c r="K59" s="4">
        <f t="shared" si="32"/>
        <v>7813.7999999999993</v>
      </c>
      <c r="L59" s="4">
        <f t="shared" si="32"/>
        <v>8682</v>
      </c>
      <c r="M59" s="4">
        <f t="shared" si="32"/>
        <v>9550.1999999999989</v>
      </c>
      <c r="N59" s="4">
        <f t="shared" si="32"/>
        <v>6077.4</v>
      </c>
      <c r="O59" s="4">
        <f t="shared" si="32"/>
        <v>6945.5999999999995</v>
      </c>
      <c r="P59" s="6">
        <f>SUM(D59:O59)</f>
        <v>93244.68</v>
      </c>
      <c r="S59">
        <v>45</v>
      </c>
      <c r="T59">
        <v>45</v>
      </c>
      <c r="U59">
        <v>45</v>
      </c>
      <c r="V59">
        <v>50</v>
      </c>
      <c r="W59">
        <v>52</v>
      </c>
      <c r="X59">
        <v>35</v>
      </c>
      <c r="Y59">
        <v>40</v>
      </c>
      <c r="Z59">
        <v>45</v>
      </c>
      <c r="AA59">
        <v>50</v>
      </c>
      <c r="AB59">
        <v>55</v>
      </c>
      <c r="AC59">
        <v>35</v>
      </c>
      <c r="AD59">
        <v>40</v>
      </c>
    </row>
    <row r="60" spans="1:30">
      <c r="A60" s="3" t="s">
        <v>21</v>
      </c>
      <c r="B60" s="4">
        <v>231.53</v>
      </c>
      <c r="C60" s="5">
        <v>1</v>
      </c>
      <c r="D60" s="4">
        <f>S60*$C$60*$B$60</f>
        <v>7408.96</v>
      </c>
      <c r="E60" s="4">
        <f t="shared" ref="E60:O60" si="33">T60*$C$60*$B$60</f>
        <v>8103.55</v>
      </c>
      <c r="F60" s="4">
        <f t="shared" si="33"/>
        <v>9261.2000000000007</v>
      </c>
      <c r="G60" s="4">
        <f t="shared" si="33"/>
        <v>9261.2000000000007</v>
      </c>
      <c r="H60" s="4">
        <f t="shared" si="33"/>
        <v>10418.85</v>
      </c>
      <c r="I60" s="4">
        <f t="shared" si="33"/>
        <v>8103.55</v>
      </c>
      <c r="J60" s="4">
        <f t="shared" si="33"/>
        <v>9261.2000000000007</v>
      </c>
      <c r="K60" s="4">
        <f t="shared" si="33"/>
        <v>10418.85</v>
      </c>
      <c r="L60" s="4">
        <f t="shared" si="33"/>
        <v>8103.55</v>
      </c>
      <c r="M60" s="4">
        <f t="shared" si="33"/>
        <v>8103.55</v>
      </c>
      <c r="N60" s="4">
        <f t="shared" si="33"/>
        <v>6945.9</v>
      </c>
      <c r="O60" s="4">
        <f t="shared" si="33"/>
        <v>11576.5</v>
      </c>
      <c r="P60" s="6">
        <f>SUM(D60:O60)</f>
        <v>106966.86000000002</v>
      </c>
      <c r="S60">
        <v>32</v>
      </c>
      <c r="T60">
        <v>35</v>
      </c>
      <c r="U60">
        <v>40</v>
      </c>
      <c r="V60">
        <v>40</v>
      </c>
      <c r="W60">
        <v>45</v>
      </c>
      <c r="X60">
        <v>35</v>
      </c>
      <c r="Y60">
        <v>40</v>
      </c>
      <c r="Z60">
        <v>45</v>
      </c>
      <c r="AA60">
        <v>35</v>
      </c>
      <c r="AB60">
        <v>35</v>
      </c>
      <c r="AC60">
        <v>30</v>
      </c>
      <c r="AD60">
        <v>50</v>
      </c>
    </row>
    <row r="61" spans="1:30">
      <c r="A61" s="3" t="s">
        <v>22</v>
      </c>
      <c r="B61" s="4">
        <v>347.29</v>
      </c>
      <c r="C61" s="5">
        <v>1</v>
      </c>
      <c r="D61" s="4">
        <f>S61*$C$61*$B$61</f>
        <v>6945.8</v>
      </c>
      <c r="E61" s="4">
        <f t="shared" ref="E61:O61" si="34">T61*$C$61*$B$61</f>
        <v>12155.150000000001</v>
      </c>
      <c r="F61" s="4">
        <f t="shared" si="34"/>
        <v>10418.700000000001</v>
      </c>
      <c r="G61" s="4">
        <f t="shared" si="34"/>
        <v>8682.25</v>
      </c>
      <c r="H61" s="4">
        <f t="shared" si="34"/>
        <v>10418.700000000001</v>
      </c>
      <c r="I61" s="4">
        <f t="shared" si="34"/>
        <v>10418.700000000001</v>
      </c>
      <c r="J61" s="4">
        <f t="shared" si="34"/>
        <v>6945.8</v>
      </c>
      <c r="K61" s="4">
        <f t="shared" si="34"/>
        <v>5209.3500000000004</v>
      </c>
      <c r="L61" s="4">
        <f t="shared" si="34"/>
        <v>6945.8</v>
      </c>
      <c r="M61" s="4">
        <f t="shared" si="34"/>
        <v>0</v>
      </c>
      <c r="N61" s="4">
        <f t="shared" si="34"/>
        <v>3472.9</v>
      </c>
      <c r="O61" s="4">
        <f t="shared" si="34"/>
        <v>5209.3500000000004</v>
      </c>
      <c r="P61" s="6">
        <f>SUM(D61:O61)</f>
        <v>86822.500000000015</v>
      </c>
      <c r="S61">
        <v>20</v>
      </c>
      <c r="T61">
        <v>35</v>
      </c>
      <c r="U61">
        <v>30</v>
      </c>
      <c r="V61">
        <v>25</v>
      </c>
      <c r="W61">
        <v>30</v>
      </c>
      <c r="X61">
        <v>30</v>
      </c>
      <c r="Y61">
        <v>20</v>
      </c>
      <c r="Z61">
        <v>15</v>
      </c>
      <c r="AA61">
        <v>20</v>
      </c>
      <c r="AB61">
        <v>0</v>
      </c>
      <c r="AC61">
        <v>10</v>
      </c>
      <c r="AD61">
        <v>15</v>
      </c>
    </row>
    <row r="62" spans="1:30">
      <c r="A62" s="3" t="s">
        <v>23</v>
      </c>
      <c r="B62" s="4">
        <v>231.53</v>
      </c>
      <c r="C62" s="5">
        <v>1</v>
      </c>
      <c r="D62" s="4">
        <f>S62*$C$62*$B$62</f>
        <v>17364.75</v>
      </c>
      <c r="E62" s="4">
        <f t="shared" ref="E62:O62" si="35">T62*$C$62*$B$62</f>
        <v>13891.8</v>
      </c>
      <c r="F62" s="4">
        <f t="shared" si="35"/>
        <v>25468.3</v>
      </c>
      <c r="G62" s="4">
        <f t="shared" si="35"/>
        <v>16207.1</v>
      </c>
      <c r="H62" s="4">
        <f t="shared" si="35"/>
        <v>16207.1</v>
      </c>
      <c r="I62" s="4">
        <f t="shared" si="35"/>
        <v>16207.1</v>
      </c>
      <c r="J62" s="4">
        <f t="shared" si="35"/>
        <v>18522.400000000001</v>
      </c>
      <c r="K62" s="4">
        <f t="shared" si="35"/>
        <v>23153</v>
      </c>
      <c r="L62" s="4">
        <f t="shared" si="35"/>
        <v>23153</v>
      </c>
      <c r="M62" s="4">
        <f t="shared" si="35"/>
        <v>25468.3</v>
      </c>
      <c r="N62" s="4">
        <f t="shared" si="35"/>
        <v>25468.3</v>
      </c>
      <c r="O62" s="4">
        <f t="shared" si="35"/>
        <v>20837.7</v>
      </c>
      <c r="P62" s="6">
        <f>SUM(D62:O62)</f>
        <v>241948.85</v>
      </c>
      <c r="S62">
        <v>75</v>
      </c>
      <c r="T62">
        <v>60</v>
      </c>
      <c r="U62">
        <v>110</v>
      </c>
      <c r="V62">
        <v>70</v>
      </c>
      <c r="W62">
        <v>70</v>
      </c>
      <c r="X62">
        <v>70</v>
      </c>
      <c r="Y62">
        <v>80</v>
      </c>
      <c r="Z62">
        <v>100</v>
      </c>
      <c r="AA62">
        <v>100</v>
      </c>
      <c r="AB62">
        <v>110</v>
      </c>
      <c r="AC62">
        <v>110</v>
      </c>
      <c r="AD62">
        <v>90</v>
      </c>
    </row>
    <row r="63" spans="1:30">
      <c r="A63" s="3" t="s">
        <v>24</v>
      </c>
      <c r="B63" s="4">
        <f>3472.88/2</f>
        <v>1736.44</v>
      </c>
      <c r="C63" s="5">
        <v>1</v>
      </c>
      <c r="D63" s="4">
        <f>S63*$C$63*$B$63</f>
        <v>6945.76</v>
      </c>
      <c r="E63" s="4">
        <f t="shared" ref="E63:O63" si="36">T63*$C$63*$B$63</f>
        <v>5209.32</v>
      </c>
      <c r="F63" s="4">
        <f t="shared" si="36"/>
        <v>10418.64</v>
      </c>
      <c r="G63" s="4">
        <f t="shared" si="36"/>
        <v>6945.76</v>
      </c>
      <c r="H63" s="4">
        <f t="shared" si="36"/>
        <v>3472.88</v>
      </c>
      <c r="I63" s="4">
        <f t="shared" si="36"/>
        <v>5209.32</v>
      </c>
      <c r="J63" s="4">
        <f t="shared" si="36"/>
        <v>5209.32</v>
      </c>
      <c r="K63" s="4">
        <f t="shared" si="36"/>
        <v>5209.32</v>
      </c>
      <c r="L63" s="4">
        <f t="shared" si="36"/>
        <v>5209.32</v>
      </c>
      <c r="M63" s="4">
        <f t="shared" si="36"/>
        <v>6945.76</v>
      </c>
      <c r="N63" s="4">
        <f t="shared" si="36"/>
        <v>5209.32</v>
      </c>
      <c r="O63" s="4">
        <f t="shared" si="36"/>
        <v>5209.32</v>
      </c>
      <c r="P63" s="6">
        <f>SUM(D63:O63)</f>
        <v>71194.040000000008</v>
      </c>
      <c r="S63">
        <v>4</v>
      </c>
      <c r="T63">
        <v>3</v>
      </c>
      <c r="U63">
        <v>6</v>
      </c>
      <c r="V63">
        <v>4</v>
      </c>
      <c r="W63">
        <v>2</v>
      </c>
      <c r="X63">
        <v>3</v>
      </c>
      <c r="Y63">
        <v>3</v>
      </c>
      <c r="Z63">
        <v>3</v>
      </c>
      <c r="AA63">
        <v>3</v>
      </c>
      <c r="AB63">
        <v>4</v>
      </c>
      <c r="AC63">
        <v>3</v>
      </c>
      <c r="AD63">
        <v>3</v>
      </c>
    </row>
    <row r="64" spans="1:30">
      <c r="A64" s="3" t="s">
        <v>25</v>
      </c>
      <c r="B64" s="4">
        <f>B63</f>
        <v>1736.44</v>
      </c>
      <c r="C64" s="5">
        <v>1</v>
      </c>
      <c r="D64" s="4">
        <f>O44</f>
        <v>3307.5</v>
      </c>
      <c r="E64" s="4">
        <f t="shared" ref="E64:O64" si="37">D63</f>
        <v>6945.76</v>
      </c>
      <c r="F64" s="4">
        <f t="shared" si="37"/>
        <v>5209.32</v>
      </c>
      <c r="G64" s="4">
        <f t="shared" si="37"/>
        <v>10418.64</v>
      </c>
      <c r="H64" s="4">
        <f t="shared" si="37"/>
        <v>6945.76</v>
      </c>
      <c r="I64" s="4">
        <f t="shared" si="37"/>
        <v>3472.88</v>
      </c>
      <c r="J64" s="4">
        <f t="shared" si="37"/>
        <v>5209.32</v>
      </c>
      <c r="K64" s="4">
        <f t="shared" si="37"/>
        <v>5209.32</v>
      </c>
      <c r="L64" s="4">
        <f t="shared" si="37"/>
        <v>5209.32</v>
      </c>
      <c r="M64" s="4">
        <f t="shared" si="37"/>
        <v>5209.32</v>
      </c>
      <c r="N64" s="4">
        <f t="shared" si="37"/>
        <v>6945.76</v>
      </c>
      <c r="O64" s="4">
        <f t="shared" si="37"/>
        <v>5209.32</v>
      </c>
      <c r="P64" s="6">
        <f t="shared" ref="P64:P67" si="38">SUM(D64:O64)</f>
        <v>69292.22</v>
      </c>
    </row>
    <row r="65" spans="1:30">
      <c r="A65" s="3" t="s">
        <v>26</v>
      </c>
      <c r="B65" s="4">
        <v>405.17</v>
      </c>
      <c r="C65" s="5">
        <v>1</v>
      </c>
      <c r="D65" s="4">
        <f>S65*$C$65*$B$65</f>
        <v>0</v>
      </c>
      <c r="E65" s="4">
        <f t="shared" ref="E65:O65" si="39">T65*$C$65*$B$65</f>
        <v>10129.25</v>
      </c>
      <c r="F65" s="4">
        <f t="shared" si="39"/>
        <v>8103.4000000000005</v>
      </c>
      <c r="G65" s="4">
        <f t="shared" si="39"/>
        <v>0</v>
      </c>
      <c r="H65" s="4">
        <f t="shared" si="39"/>
        <v>8103.4000000000005</v>
      </c>
      <c r="I65" s="4">
        <f t="shared" si="39"/>
        <v>6077.55</v>
      </c>
      <c r="J65" s="4">
        <f t="shared" si="39"/>
        <v>12155.1</v>
      </c>
      <c r="K65" s="4">
        <f t="shared" si="39"/>
        <v>0</v>
      </c>
      <c r="L65" s="4">
        <f t="shared" si="39"/>
        <v>12155.1</v>
      </c>
      <c r="M65" s="4">
        <f t="shared" si="39"/>
        <v>10129.25</v>
      </c>
      <c r="N65" s="4">
        <f t="shared" si="39"/>
        <v>6077.55</v>
      </c>
      <c r="O65" s="4">
        <f t="shared" si="39"/>
        <v>12155.1</v>
      </c>
      <c r="P65" s="6">
        <f t="shared" si="38"/>
        <v>85085.700000000012</v>
      </c>
      <c r="S65">
        <v>0</v>
      </c>
      <c r="T65">
        <v>25</v>
      </c>
      <c r="U65">
        <v>20</v>
      </c>
      <c r="V65">
        <v>0</v>
      </c>
      <c r="W65">
        <v>20</v>
      </c>
      <c r="X65">
        <v>15</v>
      </c>
      <c r="Y65">
        <v>30</v>
      </c>
      <c r="Z65">
        <v>0</v>
      </c>
      <c r="AA65">
        <v>30</v>
      </c>
      <c r="AB65">
        <v>25</v>
      </c>
      <c r="AC65">
        <v>15</v>
      </c>
      <c r="AD65">
        <v>30</v>
      </c>
    </row>
    <row r="66" spans="1:30">
      <c r="A66" s="3" t="s">
        <v>27</v>
      </c>
      <c r="B66" s="4">
        <v>289.41000000000003</v>
      </c>
      <c r="C66" s="5">
        <v>1</v>
      </c>
      <c r="D66" s="4">
        <f>S66*$C$66*$B$66</f>
        <v>8682.3000000000011</v>
      </c>
      <c r="E66" s="4">
        <f t="shared" ref="E66:O66" si="40">T66*$C$66*$B$66</f>
        <v>7235.2500000000009</v>
      </c>
      <c r="F66" s="4">
        <f t="shared" si="40"/>
        <v>7235.2500000000009</v>
      </c>
      <c r="G66" s="4">
        <f t="shared" si="40"/>
        <v>11576.400000000001</v>
      </c>
      <c r="H66" s="4">
        <f t="shared" si="40"/>
        <v>14470.500000000002</v>
      </c>
      <c r="I66" s="4">
        <f t="shared" si="40"/>
        <v>7235.2500000000009</v>
      </c>
      <c r="J66" s="4">
        <f t="shared" si="40"/>
        <v>8682.3000000000011</v>
      </c>
      <c r="K66" s="4">
        <f t="shared" si="40"/>
        <v>12155.220000000001</v>
      </c>
      <c r="L66" s="4">
        <f t="shared" si="40"/>
        <v>11576.400000000001</v>
      </c>
      <c r="M66" s="4">
        <f t="shared" si="40"/>
        <v>8682.3000000000011</v>
      </c>
      <c r="N66" s="4">
        <f t="shared" si="40"/>
        <v>12155.220000000001</v>
      </c>
      <c r="O66" s="4">
        <f t="shared" si="40"/>
        <v>8682.3000000000011</v>
      </c>
      <c r="P66" s="6">
        <f t="shared" si="38"/>
        <v>118368.69</v>
      </c>
      <c r="S66">
        <v>30</v>
      </c>
      <c r="T66">
        <v>25</v>
      </c>
      <c r="U66">
        <v>25</v>
      </c>
      <c r="V66">
        <v>40</v>
      </c>
      <c r="W66">
        <v>50</v>
      </c>
      <c r="X66">
        <v>25</v>
      </c>
      <c r="Y66">
        <v>30</v>
      </c>
      <c r="Z66">
        <v>42</v>
      </c>
      <c r="AA66">
        <v>40</v>
      </c>
      <c r="AB66">
        <v>30</v>
      </c>
      <c r="AC66">
        <v>42</v>
      </c>
      <c r="AD66">
        <v>30</v>
      </c>
    </row>
    <row r="67" spans="1:30">
      <c r="A67" s="3" t="s">
        <v>28</v>
      </c>
      <c r="B67" s="4">
        <v>578.80999999999995</v>
      </c>
      <c r="C67" s="5">
        <v>1</v>
      </c>
      <c r="D67" s="4">
        <f>S67*$C$67*$B$67</f>
        <v>17364.3</v>
      </c>
      <c r="E67" s="4">
        <f t="shared" ref="E67:O67" si="41">T67*$C$67*$B$67</f>
        <v>24310.019999999997</v>
      </c>
      <c r="F67" s="4">
        <f t="shared" si="41"/>
        <v>23152.399999999998</v>
      </c>
      <c r="G67" s="4">
        <f t="shared" si="41"/>
        <v>28940.499999999996</v>
      </c>
      <c r="H67" s="4">
        <f t="shared" si="41"/>
        <v>27782.879999999997</v>
      </c>
      <c r="I67" s="4">
        <f t="shared" si="41"/>
        <v>11576.199999999999</v>
      </c>
      <c r="J67" s="4">
        <f t="shared" si="41"/>
        <v>19100.73</v>
      </c>
      <c r="K67" s="4">
        <f t="shared" si="41"/>
        <v>23152.399999999998</v>
      </c>
      <c r="L67" s="4">
        <f t="shared" si="41"/>
        <v>28940.499999999996</v>
      </c>
      <c r="M67" s="4">
        <f t="shared" si="41"/>
        <v>26046.449999999997</v>
      </c>
      <c r="N67" s="4">
        <f t="shared" si="41"/>
        <v>23152.399999999998</v>
      </c>
      <c r="O67" s="4">
        <f t="shared" si="41"/>
        <v>20258.349999999999</v>
      </c>
      <c r="P67" s="6">
        <f t="shared" si="38"/>
        <v>273777.13</v>
      </c>
      <c r="S67">
        <v>30</v>
      </c>
      <c r="T67">
        <v>42</v>
      </c>
      <c r="U67">
        <v>40</v>
      </c>
      <c r="V67">
        <v>50</v>
      </c>
      <c r="W67">
        <v>48</v>
      </c>
      <c r="X67">
        <v>20</v>
      </c>
      <c r="Y67">
        <v>33</v>
      </c>
      <c r="Z67">
        <v>40</v>
      </c>
      <c r="AA67">
        <v>50</v>
      </c>
      <c r="AB67">
        <v>45</v>
      </c>
      <c r="AC67">
        <v>40</v>
      </c>
      <c r="AD67">
        <v>35</v>
      </c>
    </row>
    <row r="68" spans="1:30">
      <c r="A68" s="3" t="s">
        <v>33</v>
      </c>
      <c r="B68" s="4">
        <v>640.5</v>
      </c>
      <c r="C68" s="5">
        <v>1</v>
      </c>
      <c r="D68" s="4">
        <f>S68*$C$68*$B$68</f>
        <v>15372</v>
      </c>
      <c r="E68" s="4">
        <f t="shared" ref="E68:O68" si="42">T68*$C$68*$B$68</f>
        <v>16012.5</v>
      </c>
      <c r="F68" s="4">
        <f t="shared" si="42"/>
        <v>16653</v>
      </c>
      <c r="G68" s="4">
        <f t="shared" si="42"/>
        <v>17293.5</v>
      </c>
      <c r="H68" s="4">
        <f t="shared" si="42"/>
        <v>17293.5</v>
      </c>
      <c r="I68" s="4">
        <f t="shared" si="42"/>
        <v>16012.5</v>
      </c>
      <c r="J68" s="4">
        <f t="shared" si="42"/>
        <v>12810</v>
      </c>
      <c r="K68" s="4">
        <f t="shared" si="42"/>
        <v>12810</v>
      </c>
      <c r="L68" s="4">
        <f t="shared" si="42"/>
        <v>14091</v>
      </c>
      <c r="M68" s="4">
        <f t="shared" si="42"/>
        <v>16012.5</v>
      </c>
      <c r="N68" s="4">
        <f t="shared" si="42"/>
        <v>16012.5</v>
      </c>
      <c r="O68" s="4">
        <f t="shared" si="42"/>
        <v>22417.5</v>
      </c>
      <c r="P68" s="6">
        <f>SUM(D68:O68)</f>
        <v>192790.5</v>
      </c>
      <c r="S68">
        <v>24</v>
      </c>
      <c r="T68">
        <v>25</v>
      </c>
      <c r="U68">
        <v>26</v>
      </c>
      <c r="V68">
        <v>27</v>
      </c>
      <c r="W68">
        <v>27</v>
      </c>
      <c r="X68">
        <v>25</v>
      </c>
      <c r="Y68">
        <v>20</v>
      </c>
      <c r="Z68">
        <v>20</v>
      </c>
      <c r="AA68">
        <v>22</v>
      </c>
      <c r="AB68">
        <v>25</v>
      </c>
      <c r="AC68">
        <v>25</v>
      </c>
      <c r="AD68">
        <v>35</v>
      </c>
    </row>
    <row r="69" spans="1:30">
      <c r="A69" s="3" t="s">
        <v>29</v>
      </c>
      <c r="B69" s="5"/>
      <c r="C69" s="5"/>
      <c r="D69" s="4">
        <f>D59+D60+D61+D62+D63+D65+D66+D67+D64+D68</f>
        <v>91205.17</v>
      </c>
      <c r="E69" s="4">
        <f t="shared" ref="E69:O69" si="43">E59+E60+E61+E62+E63+E65+E66+E67+E64+E68</f>
        <v>111806.39999999999</v>
      </c>
      <c r="F69" s="4">
        <f t="shared" si="43"/>
        <v>123734.00999999998</v>
      </c>
      <c r="G69" s="4">
        <f t="shared" si="43"/>
        <v>118007.35</v>
      </c>
      <c r="H69" s="4">
        <f t="shared" si="43"/>
        <v>124142.84999999999</v>
      </c>
      <c r="I69" s="4">
        <f t="shared" si="43"/>
        <v>90390.450000000012</v>
      </c>
      <c r="J69" s="4">
        <f t="shared" si="43"/>
        <v>104841.76999999999</v>
      </c>
      <c r="K69" s="4">
        <f t="shared" si="43"/>
        <v>105131.26000000001</v>
      </c>
      <c r="L69" s="4">
        <f t="shared" si="43"/>
        <v>124065.98999999999</v>
      </c>
      <c r="M69" s="4">
        <f t="shared" si="43"/>
        <v>116147.63</v>
      </c>
      <c r="N69" s="4">
        <f t="shared" si="43"/>
        <v>111517.25</v>
      </c>
      <c r="O69" s="4">
        <f t="shared" si="43"/>
        <v>118501.04000000001</v>
      </c>
      <c r="P69" s="10">
        <f t="shared" ref="P69:P70" si="44">SUM(D69:O69)</f>
        <v>1339491.17</v>
      </c>
    </row>
    <row r="70" spans="1:30">
      <c r="A70" s="3" t="s">
        <v>30</v>
      </c>
      <c r="B70" s="5"/>
      <c r="C70" s="5"/>
      <c r="D70" s="4">
        <f>D59+D60+D61+D62+D63+E64+D65+D66+D67+D68</f>
        <v>94843.430000000008</v>
      </c>
      <c r="E70" s="4">
        <f t="shared" ref="E70:N70" si="45">E59+E60+E61+E62+E63+F64+E65+E66+E67+E68</f>
        <v>110069.95999999999</v>
      </c>
      <c r="F70" s="4">
        <f t="shared" si="45"/>
        <v>128943.32999999999</v>
      </c>
      <c r="G70" s="4">
        <f t="shared" si="45"/>
        <v>114534.47</v>
      </c>
      <c r="H70" s="4">
        <f t="shared" si="45"/>
        <v>120669.97</v>
      </c>
      <c r="I70" s="4">
        <f t="shared" si="45"/>
        <v>92126.89</v>
      </c>
      <c r="J70" s="4">
        <f t="shared" si="45"/>
        <v>104841.76999999999</v>
      </c>
      <c r="K70" s="4">
        <f t="shared" si="45"/>
        <v>105131.26</v>
      </c>
      <c r="L70" s="4">
        <f t="shared" si="45"/>
        <v>124065.98999999999</v>
      </c>
      <c r="M70" s="4">
        <f t="shared" si="45"/>
        <v>117884.07</v>
      </c>
      <c r="N70" s="4">
        <f t="shared" si="45"/>
        <v>109780.81</v>
      </c>
      <c r="O70" s="4">
        <f>O59+O60+O61+O62+O63+O65+O66+O67+O68+O64</f>
        <v>118501.04000000001</v>
      </c>
      <c r="P70" s="10">
        <f t="shared" si="44"/>
        <v>1341392.99</v>
      </c>
    </row>
    <row r="71" spans="1:30">
      <c r="A71" s="3"/>
      <c r="B71" s="5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/>
    </row>
    <row r="72" spans="1:30">
      <c r="A72" s="3" t="s">
        <v>31</v>
      </c>
      <c r="B72" s="5"/>
      <c r="C72" s="5"/>
      <c r="D72" s="4">
        <f>D70*1.05</f>
        <v>99585.601500000019</v>
      </c>
      <c r="E72" s="4">
        <f t="shared" ref="E72:O72" si="46">E70*1.05</f>
        <v>115573.458</v>
      </c>
      <c r="F72" s="4">
        <f t="shared" si="46"/>
        <v>135390.49649999998</v>
      </c>
      <c r="G72" s="4">
        <f t="shared" si="46"/>
        <v>120261.19350000001</v>
      </c>
      <c r="H72" s="4">
        <f t="shared" si="46"/>
        <v>126703.4685</v>
      </c>
      <c r="I72" s="4">
        <f t="shared" si="46"/>
        <v>96733.234500000006</v>
      </c>
      <c r="J72" s="4">
        <f t="shared" si="46"/>
        <v>110083.85849999999</v>
      </c>
      <c r="K72" s="4">
        <f t="shared" si="46"/>
        <v>110387.823</v>
      </c>
      <c r="L72" s="4">
        <f t="shared" si="46"/>
        <v>130269.2895</v>
      </c>
      <c r="M72" s="4">
        <f t="shared" si="46"/>
        <v>123778.27350000001</v>
      </c>
      <c r="N72" s="4">
        <f t="shared" si="46"/>
        <v>115269.8505</v>
      </c>
      <c r="O72" s="4">
        <f t="shared" si="46"/>
        <v>124426.09200000002</v>
      </c>
      <c r="P72" s="6">
        <f>SUM(D72:O72)</f>
        <v>1408462.6394999998</v>
      </c>
    </row>
    <row r="73" spans="1:30">
      <c r="A73" s="3" t="s">
        <v>32</v>
      </c>
      <c r="B73" s="5"/>
      <c r="C73" s="5"/>
      <c r="D73" s="4">
        <f>D72*1.1</f>
        <v>109544.16165000002</v>
      </c>
      <c r="E73" s="4">
        <f t="shared" ref="E73:O73" si="47">E72*1.1</f>
        <v>127130.80380000001</v>
      </c>
      <c r="F73" s="4">
        <f t="shared" si="47"/>
        <v>148929.54614999998</v>
      </c>
      <c r="G73" s="4">
        <f t="shared" si="47"/>
        <v>132287.31285000002</v>
      </c>
      <c r="H73" s="4">
        <f t="shared" si="47"/>
        <v>139373.81535000002</v>
      </c>
      <c r="I73" s="4">
        <f t="shared" si="47"/>
        <v>106406.55795000002</v>
      </c>
      <c r="J73" s="4">
        <f t="shared" si="47"/>
        <v>121092.24434999999</v>
      </c>
      <c r="K73" s="4">
        <f t="shared" si="47"/>
        <v>121426.60530000001</v>
      </c>
      <c r="L73" s="4">
        <f t="shared" si="47"/>
        <v>143296.21845000001</v>
      </c>
      <c r="M73" s="4">
        <f t="shared" si="47"/>
        <v>136156.10085000002</v>
      </c>
      <c r="N73" s="4">
        <f t="shared" si="47"/>
        <v>126796.83555000002</v>
      </c>
      <c r="O73" s="4">
        <f t="shared" si="47"/>
        <v>136868.70120000004</v>
      </c>
      <c r="P73" s="6">
        <f>SUM(D73:O73)</f>
        <v>1549308.9034500001</v>
      </c>
    </row>
    <row r="76" spans="1:30">
      <c r="A76" s="7">
        <v>2024</v>
      </c>
    </row>
    <row r="77" spans="1:30" ht="28.15">
      <c r="A77" s="2" t="s">
        <v>4</v>
      </c>
      <c r="B77" s="2" t="s">
        <v>5</v>
      </c>
      <c r="C77" s="2" t="s">
        <v>6</v>
      </c>
      <c r="D77" s="2" t="s">
        <v>7</v>
      </c>
      <c r="E77" s="2" t="s">
        <v>8</v>
      </c>
      <c r="F77" s="2" t="s">
        <v>9</v>
      </c>
      <c r="G77" s="2" t="s">
        <v>10</v>
      </c>
      <c r="H77" s="2" t="s">
        <v>11</v>
      </c>
      <c r="I77" s="2" t="s">
        <v>12</v>
      </c>
      <c r="J77" s="2" t="s">
        <v>13</v>
      </c>
      <c r="K77" s="2" t="s">
        <v>14</v>
      </c>
      <c r="L77" s="2" t="s">
        <v>15</v>
      </c>
      <c r="M77" s="2" t="s">
        <v>16</v>
      </c>
      <c r="N77" s="2" t="s">
        <v>17</v>
      </c>
      <c r="O77" s="2" t="s">
        <v>18</v>
      </c>
      <c r="P77" s="2" t="s">
        <v>19</v>
      </c>
      <c r="S77" s="8" t="s">
        <v>7</v>
      </c>
      <c r="T77" s="8" t="s">
        <v>8</v>
      </c>
      <c r="U77" s="9" t="s">
        <v>9</v>
      </c>
      <c r="V77" s="9" t="s">
        <v>10</v>
      </c>
      <c r="W77" s="9" t="s">
        <v>11</v>
      </c>
      <c r="X77" s="9" t="s">
        <v>12</v>
      </c>
      <c r="Y77" s="9" t="s">
        <v>13</v>
      </c>
      <c r="Z77" s="9" t="s">
        <v>14</v>
      </c>
      <c r="AA77" s="9" t="s">
        <v>15</v>
      </c>
      <c r="AB77" s="9" t="s">
        <v>16</v>
      </c>
      <c r="AC77" s="9" t="s">
        <v>17</v>
      </c>
      <c r="AD77" s="9" t="s">
        <v>18</v>
      </c>
    </row>
    <row r="78" spans="1:30">
      <c r="A78" s="3" t="s">
        <v>20</v>
      </c>
      <c r="B78" s="4">
        <v>182.33</v>
      </c>
      <c r="C78" s="5">
        <v>1</v>
      </c>
      <c r="D78" s="4">
        <f>S78*$B$78*$C$78</f>
        <v>6928.5400000000009</v>
      </c>
      <c r="E78" s="4">
        <f t="shared" ref="E78:O78" si="48">T78*$B$78*$C$78</f>
        <v>9116.5</v>
      </c>
      <c r="F78" s="4">
        <f t="shared" si="48"/>
        <v>9116.5</v>
      </c>
      <c r="G78" s="4">
        <f t="shared" si="48"/>
        <v>7293.2000000000007</v>
      </c>
      <c r="H78" s="4">
        <f t="shared" si="48"/>
        <v>10028.150000000001</v>
      </c>
      <c r="I78" s="4">
        <f t="shared" si="48"/>
        <v>4558.25</v>
      </c>
      <c r="J78" s="4">
        <f t="shared" si="48"/>
        <v>4558.25</v>
      </c>
      <c r="K78" s="4">
        <f t="shared" si="48"/>
        <v>5469.9000000000005</v>
      </c>
      <c r="L78" s="4">
        <f t="shared" si="48"/>
        <v>9116.5</v>
      </c>
      <c r="M78" s="4">
        <f t="shared" si="48"/>
        <v>8204.85</v>
      </c>
      <c r="N78" s="4">
        <f t="shared" si="48"/>
        <v>7657.8600000000006</v>
      </c>
      <c r="O78" s="4">
        <f t="shared" si="48"/>
        <v>9116.5</v>
      </c>
      <c r="P78" s="6">
        <f>SUM(D78:O78)</f>
        <v>91165.000000000015</v>
      </c>
      <c r="S78">
        <v>38</v>
      </c>
      <c r="T78">
        <v>50</v>
      </c>
      <c r="U78">
        <v>50</v>
      </c>
      <c r="V78">
        <v>40</v>
      </c>
      <c r="W78">
        <v>55</v>
      </c>
      <c r="X78">
        <v>25</v>
      </c>
      <c r="Y78">
        <v>25</v>
      </c>
      <c r="Z78">
        <v>30</v>
      </c>
      <c r="AA78">
        <v>50</v>
      </c>
      <c r="AB78">
        <v>45</v>
      </c>
      <c r="AC78">
        <v>42</v>
      </c>
      <c r="AD78">
        <v>50</v>
      </c>
    </row>
    <row r="79" spans="1:30">
      <c r="A79" s="3" t="s">
        <v>21</v>
      </c>
      <c r="B79" s="4">
        <v>243.1</v>
      </c>
      <c r="C79" s="5">
        <v>1</v>
      </c>
      <c r="D79" s="4">
        <f>S79*$B$79*$C$79</f>
        <v>9724</v>
      </c>
      <c r="E79" s="4">
        <f t="shared" ref="E79:O79" si="49">T79*$B$79*$C$79</f>
        <v>9724</v>
      </c>
      <c r="F79" s="4">
        <f t="shared" si="49"/>
        <v>12155</v>
      </c>
      <c r="G79" s="4">
        <f t="shared" si="49"/>
        <v>9724</v>
      </c>
      <c r="H79" s="4">
        <f t="shared" si="49"/>
        <v>9724</v>
      </c>
      <c r="I79" s="4">
        <f t="shared" si="49"/>
        <v>4862</v>
      </c>
      <c r="J79" s="4">
        <f t="shared" si="49"/>
        <v>7293</v>
      </c>
      <c r="K79" s="4">
        <f t="shared" si="49"/>
        <v>6077.5</v>
      </c>
      <c r="L79" s="4">
        <f t="shared" si="49"/>
        <v>12155</v>
      </c>
      <c r="M79" s="4">
        <f t="shared" si="49"/>
        <v>9724</v>
      </c>
      <c r="N79" s="4">
        <f t="shared" si="49"/>
        <v>7293</v>
      </c>
      <c r="O79" s="4">
        <f t="shared" si="49"/>
        <v>12155</v>
      </c>
      <c r="P79" s="6">
        <f>SUM(D79:O79)</f>
        <v>110610.5</v>
      </c>
      <c r="S79">
        <v>40</v>
      </c>
      <c r="T79">
        <v>40</v>
      </c>
      <c r="U79">
        <v>50</v>
      </c>
      <c r="V79">
        <v>40</v>
      </c>
      <c r="W79">
        <v>40</v>
      </c>
      <c r="X79">
        <v>20</v>
      </c>
      <c r="Y79">
        <v>30</v>
      </c>
      <c r="Z79">
        <v>25</v>
      </c>
      <c r="AA79">
        <v>50</v>
      </c>
      <c r="AB79">
        <v>40</v>
      </c>
      <c r="AC79">
        <v>30</v>
      </c>
      <c r="AD79">
        <v>50</v>
      </c>
    </row>
    <row r="80" spans="1:30">
      <c r="A80" s="3" t="s">
        <v>22</v>
      </c>
      <c r="B80" s="4">
        <v>364.65</v>
      </c>
      <c r="C80" s="5">
        <v>1</v>
      </c>
      <c r="D80" s="4">
        <f>S80*$B$80*$C$80</f>
        <v>2187.8999999999996</v>
      </c>
      <c r="E80" s="4">
        <f t="shared" ref="E80:O80" si="50">T80*$B$80*$C$80</f>
        <v>10939.5</v>
      </c>
      <c r="F80" s="4">
        <f t="shared" si="50"/>
        <v>9116.25</v>
      </c>
      <c r="G80" s="4">
        <f t="shared" si="50"/>
        <v>7293</v>
      </c>
      <c r="H80" s="4">
        <f t="shared" si="50"/>
        <v>12762.75</v>
      </c>
      <c r="I80" s="4">
        <f t="shared" si="50"/>
        <v>2917.2</v>
      </c>
      <c r="J80" s="4">
        <f t="shared" si="50"/>
        <v>7293</v>
      </c>
      <c r="K80" s="4">
        <f t="shared" si="50"/>
        <v>7293</v>
      </c>
      <c r="L80" s="4">
        <f t="shared" si="50"/>
        <v>7293</v>
      </c>
      <c r="M80" s="4">
        <f t="shared" si="50"/>
        <v>7293</v>
      </c>
      <c r="N80" s="4">
        <f t="shared" si="50"/>
        <v>6563.7</v>
      </c>
      <c r="O80" s="4">
        <f t="shared" si="50"/>
        <v>5469.75</v>
      </c>
      <c r="P80" s="6">
        <f>SUM(D80:O80)</f>
        <v>86422.05</v>
      </c>
      <c r="S80">
        <v>6</v>
      </c>
      <c r="T80">
        <v>30</v>
      </c>
      <c r="U80">
        <v>25</v>
      </c>
      <c r="V80">
        <v>20</v>
      </c>
      <c r="W80">
        <v>35</v>
      </c>
      <c r="X80">
        <v>8</v>
      </c>
      <c r="Y80">
        <v>20</v>
      </c>
      <c r="Z80">
        <v>20</v>
      </c>
      <c r="AA80">
        <v>20</v>
      </c>
      <c r="AB80">
        <v>20</v>
      </c>
      <c r="AC80">
        <v>18</v>
      </c>
      <c r="AD80">
        <v>15</v>
      </c>
    </row>
    <row r="81" spans="1:30">
      <c r="A81" s="3" t="s">
        <v>23</v>
      </c>
      <c r="B81" s="4">
        <v>243.1</v>
      </c>
      <c r="C81" s="5">
        <v>1</v>
      </c>
      <c r="D81" s="4">
        <f>S81*$B$81*$C$81</f>
        <v>24310</v>
      </c>
      <c r="E81" s="4">
        <f t="shared" ref="E81:O81" si="51">T81*$B$81*$C$81</f>
        <v>14586</v>
      </c>
      <c r="F81" s="4">
        <f t="shared" si="51"/>
        <v>29172</v>
      </c>
      <c r="G81" s="4">
        <f t="shared" si="51"/>
        <v>24310</v>
      </c>
      <c r="H81" s="4">
        <f t="shared" si="51"/>
        <v>21879</v>
      </c>
      <c r="I81" s="4">
        <f t="shared" si="51"/>
        <v>18232.5</v>
      </c>
      <c r="J81" s="4">
        <f t="shared" si="51"/>
        <v>24310</v>
      </c>
      <c r="K81" s="4">
        <f t="shared" si="51"/>
        <v>26741</v>
      </c>
      <c r="L81" s="4">
        <f t="shared" si="51"/>
        <v>29172</v>
      </c>
      <c r="M81" s="4">
        <f t="shared" si="51"/>
        <v>21149.7</v>
      </c>
      <c r="N81" s="4">
        <f t="shared" si="51"/>
        <v>29658.2</v>
      </c>
      <c r="O81" s="4">
        <f t="shared" si="51"/>
        <v>26741</v>
      </c>
      <c r="P81" s="6">
        <f>SUM(D81:O81)</f>
        <v>290261.40000000002</v>
      </c>
      <c r="S81">
        <v>100</v>
      </c>
      <c r="T81">
        <v>60</v>
      </c>
      <c r="U81">
        <v>120</v>
      </c>
      <c r="V81">
        <v>100</v>
      </c>
      <c r="W81">
        <v>90</v>
      </c>
      <c r="X81">
        <v>75</v>
      </c>
      <c r="Y81">
        <v>100</v>
      </c>
      <c r="Z81">
        <v>110</v>
      </c>
      <c r="AA81">
        <v>120</v>
      </c>
      <c r="AB81">
        <v>87</v>
      </c>
      <c r="AC81">
        <v>122</v>
      </c>
      <c r="AD81">
        <v>110</v>
      </c>
    </row>
    <row r="82" spans="1:30">
      <c r="A82" s="3" t="s">
        <v>24</v>
      </c>
      <c r="B82" s="4">
        <f>3646.52/2</f>
        <v>1823.26</v>
      </c>
      <c r="C82" s="5">
        <v>1</v>
      </c>
      <c r="D82" s="4">
        <f>S82*$B$82*$C$82</f>
        <v>9116.2999999999993</v>
      </c>
      <c r="E82" s="4">
        <f t="shared" ref="E82:O82" si="52">T82*$B$82*$C$82</f>
        <v>7293.04</v>
      </c>
      <c r="F82" s="4">
        <f t="shared" si="52"/>
        <v>5469.78</v>
      </c>
      <c r="G82" s="4">
        <f t="shared" si="52"/>
        <v>7293.04</v>
      </c>
      <c r="H82" s="4">
        <f t="shared" si="52"/>
        <v>7293.04</v>
      </c>
      <c r="I82" s="4">
        <f t="shared" si="52"/>
        <v>10939.56</v>
      </c>
      <c r="J82" s="4">
        <f t="shared" si="52"/>
        <v>9116.2999999999993</v>
      </c>
      <c r="K82" s="4">
        <f t="shared" si="52"/>
        <v>7293.04</v>
      </c>
      <c r="L82" s="4">
        <f t="shared" si="52"/>
        <v>7293.04</v>
      </c>
      <c r="M82" s="4">
        <f t="shared" si="52"/>
        <v>9116.2999999999993</v>
      </c>
      <c r="N82" s="4">
        <f t="shared" si="52"/>
        <v>7293.04</v>
      </c>
      <c r="O82" s="4">
        <f t="shared" si="52"/>
        <v>7293.04</v>
      </c>
      <c r="P82" s="6">
        <f>SUM(D82:O82)</f>
        <v>94809.51999999999</v>
      </c>
      <c r="S82">
        <v>5</v>
      </c>
      <c r="T82">
        <v>4</v>
      </c>
      <c r="U82">
        <v>3</v>
      </c>
      <c r="V82">
        <v>4</v>
      </c>
      <c r="W82">
        <v>4</v>
      </c>
      <c r="X82">
        <v>6</v>
      </c>
      <c r="Y82">
        <v>5</v>
      </c>
      <c r="Z82">
        <v>4</v>
      </c>
      <c r="AA82">
        <v>4</v>
      </c>
      <c r="AB82">
        <v>5</v>
      </c>
      <c r="AC82">
        <v>4</v>
      </c>
      <c r="AD82">
        <v>4</v>
      </c>
    </row>
    <row r="83" spans="1:30">
      <c r="A83" s="3" t="s">
        <v>25</v>
      </c>
      <c r="B83" s="4">
        <f>B82</f>
        <v>1823.26</v>
      </c>
      <c r="C83" s="5">
        <v>1</v>
      </c>
      <c r="D83" s="4">
        <f>O64</f>
        <v>5209.32</v>
      </c>
      <c r="E83" s="4">
        <f t="shared" ref="E83:O83" si="53">D82</f>
        <v>9116.2999999999993</v>
      </c>
      <c r="F83" s="4">
        <f t="shared" si="53"/>
        <v>7293.04</v>
      </c>
      <c r="G83" s="4">
        <f t="shared" si="53"/>
        <v>5469.78</v>
      </c>
      <c r="H83" s="4">
        <f t="shared" si="53"/>
        <v>7293.04</v>
      </c>
      <c r="I83" s="4">
        <f t="shared" si="53"/>
        <v>7293.04</v>
      </c>
      <c r="J83" s="4">
        <f t="shared" si="53"/>
        <v>10939.56</v>
      </c>
      <c r="K83" s="4">
        <f t="shared" si="53"/>
        <v>9116.2999999999993</v>
      </c>
      <c r="L83" s="4">
        <f t="shared" si="53"/>
        <v>7293.04</v>
      </c>
      <c r="M83" s="4">
        <f t="shared" si="53"/>
        <v>7293.04</v>
      </c>
      <c r="N83" s="4">
        <f t="shared" si="53"/>
        <v>9116.2999999999993</v>
      </c>
      <c r="O83" s="4">
        <f t="shared" si="53"/>
        <v>7293.04</v>
      </c>
      <c r="P83" s="6">
        <f t="shared" ref="P83:P86" si="54">SUM(D83:O83)</f>
        <v>92725.799999999974</v>
      </c>
    </row>
    <row r="84" spans="1:30">
      <c r="A84" s="3" t="s">
        <v>26</v>
      </c>
      <c r="B84" s="4">
        <v>425.43</v>
      </c>
      <c r="C84" s="5">
        <v>1</v>
      </c>
      <c r="D84" s="4">
        <f>S84*$B$84*$C$84</f>
        <v>0</v>
      </c>
      <c r="E84" s="4">
        <f t="shared" ref="E84:O84" si="55">T84*$B$84*$C$84</f>
        <v>14039.19</v>
      </c>
      <c r="F84" s="4">
        <f t="shared" si="55"/>
        <v>12762.9</v>
      </c>
      <c r="G84" s="4">
        <f t="shared" si="55"/>
        <v>12762.9</v>
      </c>
      <c r="H84" s="4">
        <f t="shared" si="55"/>
        <v>12762.9</v>
      </c>
      <c r="I84" s="4">
        <f t="shared" si="55"/>
        <v>3403.44</v>
      </c>
      <c r="J84" s="4">
        <f t="shared" si="55"/>
        <v>8508.6</v>
      </c>
      <c r="K84" s="4">
        <f t="shared" si="55"/>
        <v>8508.6</v>
      </c>
      <c r="L84" s="4">
        <f t="shared" si="55"/>
        <v>8508.6</v>
      </c>
      <c r="M84" s="4">
        <f t="shared" si="55"/>
        <v>12762.9</v>
      </c>
      <c r="N84" s="4">
        <f t="shared" si="55"/>
        <v>6381.45</v>
      </c>
      <c r="O84" s="4">
        <f t="shared" si="55"/>
        <v>12762.9</v>
      </c>
      <c r="P84" s="6">
        <f t="shared" si="54"/>
        <v>113164.37999999999</v>
      </c>
      <c r="S84">
        <v>0</v>
      </c>
      <c r="T84">
        <v>33</v>
      </c>
      <c r="U84">
        <v>30</v>
      </c>
      <c r="V84">
        <v>30</v>
      </c>
      <c r="W84">
        <v>30</v>
      </c>
      <c r="X84">
        <v>8</v>
      </c>
      <c r="Y84">
        <v>20</v>
      </c>
      <c r="Z84">
        <v>20</v>
      </c>
      <c r="AA84">
        <v>20</v>
      </c>
      <c r="AB84">
        <v>30</v>
      </c>
      <c r="AC84">
        <v>15</v>
      </c>
      <c r="AD84">
        <v>30</v>
      </c>
    </row>
    <row r="85" spans="1:30">
      <c r="A85" s="3" t="s">
        <v>27</v>
      </c>
      <c r="B85" s="4">
        <v>303.88</v>
      </c>
      <c r="C85" s="5">
        <v>1</v>
      </c>
      <c r="D85" s="4">
        <f>S85*$B$85*$C$85</f>
        <v>12155.2</v>
      </c>
      <c r="E85" s="4">
        <f t="shared" ref="E85:O85" si="56">T85*$B$85*$C$85</f>
        <v>9116.4</v>
      </c>
      <c r="F85" s="4">
        <f t="shared" si="56"/>
        <v>15194</v>
      </c>
      <c r="G85" s="4">
        <f t="shared" si="56"/>
        <v>10028.039999999999</v>
      </c>
      <c r="H85" s="4">
        <f t="shared" si="56"/>
        <v>9116.4</v>
      </c>
      <c r="I85" s="4">
        <f t="shared" si="56"/>
        <v>6077.6</v>
      </c>
      <c r="J85" s="4">
        <f t="shared" si="56"/>
        <v>9116.4</v>
      </c>
      <c r="K85" s="4">
        <f t="shared" si="56"/>
        <v>9116.4</v>
      </c>
      <c r="L85" s="4">
        <f t="shared" si="56"/>
        <v>12155.2</v>
      </c>
      <c r="M85" s="4">
        <f t="shared" si="56"/>
        <v>9116.4</v>
      </c>
      <c r="N85" s="4">
        <f t="shared" si="56"/>
        <v>6077.6</v>
      </c>
      <c r="O85" s="4">
        <f t="shared" si="56"/>
        <v>9116.4</v>
      </c>
      <c r="P85" s="6">
        <f t="shared" si="54"/>
        <v>116386.03999999998</v>
      </c>
      <c r="S85">
        <v>40</v>
      </c>
      <c r="T85">
        <v>30</v>
      </c>
      <c r="U85">
        <v>50</v>
      </c>
      <c r="V85">
        <v>33</v>
      </c>
      <c r="W85">
        <v>30</v>
      </c>
      <c r="X85">
        <v>20</v>
      </c>
      <c r="Y85">
        <v>30</v>
      </c>
      <c r="Z85">
        <v>30</v>
      </c>
      <c r="AA85">
        <v>40</v>
      </c>
      <c r="AB85">
        <v>30</v>
      </c>
      <c r="AC85">
        <v>20</v>
      </c>
      <c r="AD85">
        <v>30</v>
      </c>
    </row>
    <row r="86" spans="1:30">
      <c r="A86" s="3" t="s">
        <v>28</v>
      </c>
      <c r="B86" s="4">
        <v>607.75</v>
      </c>
      <c r="C86" s="5">
        <v>1</v>
      </c>
      <c r="D86" s="4">
        <f>S86*$B$86*$C$86</f>
        <v>18232.5</v>
      </c>
      <c r="E86" s="4">
        <f t="shared" ref="E86:O86" si="57">T86*$B$86*$C$86</f>
        <v>27348.75</v>
      </c>
      <c r="F86" s="4">
        <f t="shared" si="57"/>
        <v>27348.75</v>
      </c>
      <c r="G86" s="4">
        <f t="shared" si="57"/>
        <v>27348.75</v>
      </c>
      <c r="H86" s="4">
        <f t="shared" si="57"/>
        <v>24310</v>
      </c>
      <c r="I86" s="4">
        <f t="shared" si="57"/>
        <v>18232.5</v>
      </c>
      <c r="J86" s="4">
        <f t="shared" si="57"/>
        <v>21271.25</v>
      </c>
      <c r="K86" s="4">
        <f t="shared" si="57"/>
        <v>24310</v>
      </c>
      <c r="L86" s="4">
        <f t="shared" si="57"/>
        <v>27348.75</v>
      </c>
      <c r="M86" s="4">
        <f t="shared" si="57"/>
        <v>30387.5</v>
      </c>
      <c r="N86" s="4">
        <f t="shared" si="57"/>
        <v>27348.75</v>
      </c>
      <c r="O86" s="4">
        <f t="shared" si="57"/>
        <v>18232.5</v>
      </c>
      <c r="P86" s="6">
        <f t="shared" si="54"/>
        <v>291720</v>
      </c>
      <c r="S86">
        <v>30</v>
      </c>
      <c r="T86">
        <v>45</v>
      </c>
      <c r="U86">
        <v>45</v>
      </c>
      <c r="V86">
        <v>45</v>
      </c>
      <c r="W86">
        <v>40</v>
      </c>
      <c r="X86">
        <v>30</v>
      </c>
      <c r="Y86">
        <v>35</v>
      </c>
      <c r="Z86">
        <v>40</v>
      </c>
      <c r="AA86">
        <v>45</v>
      </c>
      <c r="AB86">
        <v>50</v>
      </c>
      <c r="AC86">
        <v>45</v>
      </c>
      <c r="AD86">
        <v>30</v>
      </c>
    </row>
    <row r="87" spans="1:30">
      <c r="A87" s="3" t="s">
        <v>33</v>
      </c>
      <c r="B87" s="4">
        <v>672.53</v>
      </c>
      <c r="C87" s="5">
        <v>1</v>
      </c>
      <c r="D87" s="4">
        <f>S87*$B$87*$C$87</f>
        <v>26901.199999999997</v>
      </c>
      <c r="E87" s="4">
        <f t="shared" ref="E87:O87" si="58">T87*$B$87*$C$87</f>
        <v>26901.199999999997</v>
      </c>
      <c r="F87" s="4">
        <f t="shared" si="58"/>
        <v>26901.199999999997</v>
      </c>
      <c r="G87" s="4">
        <f t="shared" si="58"/>
        <v>26901.199999999997</v>
      </c>
      <c r="H87" s="4">
        <f t="shared" si="58"/>
        <v>28918.789999999997</v>
      </c>
      <c r="I87" s="4">
        <f t="shared" si="58"/>
        <v>28246.26</v>
      </c>
      <c r="J87" s="4">
        <f t="shared" si="58"/>
        <v>28246.26</v>
      </c>
      <c r="K87" s="4">
        <f t="shared" si="58"/>
        <v>26901.199999999997</v>
      </c>
      <c r="L87" s="4">
        <f t="shared" si="58"/>
        <v>30263.85</v>
      </c>
      <c r="M87" s="4">
        <f t="shared" si="58"/>
        <v>30263.85</v>
      </c>
      <c r="N87" s="4">
        <f t="shared" si="58"/>
        <v>30936.379999999997</v>
      </c>
      <c r="O87" s="4">
        <f t="shared" si="58"/>
        <v>29591.32</v>
      </c>
      <c r="P87" s="6">
        <f>SUM(D87:O87)</f>
        <v>340972.71</v>
      </c>
      <c r="S87">
        <v>40</v>
      </c>
      <c r="T87">
        <v>40</v>
      </c>
      <c r="U87">
        <v>40</v>
      </c>
      <c r="V87">
        <v>40</v>
      </c>
      <c r="W87">
        <v>43</v>
      </c>
      <c r="X87">
        <v>42</v>
      </c>
      <c r="Y87">
        <v>42</v>
      </c>
      <c r="Z87">
        <v>40</v>
      </c>
      <c r="AA87">
        <v>45</v>
      </c>
      <c r="AB87">
        <v>45</v>
      </c>
      <c r="AC87">
        <v>46</v>
      </c>
      <c r="AD87">
        <v>44</v>
      </c>
    </row>
    <row r="88" spans="1:30">
      <c r="A88" s="3" t="s">
        <v>29</v>
      </c>
      <c r="B88" s="5"/>
      <c r="C88" s="5"/>
      <c r="D88" s="4">
        <f>D78+D79+D80+D81+D82+D84+D85+D86+D83+D87</f>
        <v>114764.96</v>
      </c>
      <c r="E88" s="4">
        <f t="shared" ref="E88:N88" si="59">E78+E79+E80+E81+E82+E84+E85+E86+E83+E87</f>
        <v>138180.88</v>
      </c>
      <c r="F88" s="4">
        <f t="shared" si="59"/>
        <v>154529.41999999998</v>
      </c>
      <c r="G88" s="4">
        <f t="shared" si="59"/>
        <v>138423.90999999997</v>
      </c>
      <c r="H88" s="4">
        <f t="shared" si="59"/>
        <v>144088.06999999998</v>
      </c>
      <c r="I88" s="4">
        <f t="shared" si="59"/>
        <v>104762.34999999999</v>
      </c>
      <c r="J88" s="4">
        <f t="shared" si="59"/>
        <v>130652.62</v>
      </c>
      <c r="K88" s="4">
        <f t="shared" si="59"/>
        <v>130826.94</v>
      </c>
      <c r="L88" s="4">
        <f t="shared" si="59"/>
        <v>150598.97999999998</v>
      </c>
      <c r="M88" s="4">
        <f t="shared" si="59"/>
        <v>145311.53999999998</v>
      </c>
      <c r="N88" s="4">
        <f t="shared" si="59"/>
        <v>138326.28</v>
      </c>
      <c r="O88" s="4">
        <f>O78+O79+O80+O81+O82+O84+O85+O86+O83+O87</f>
        <v>137771.44999999998</v>
      </c>
      <c r="P88" s="10">
        <f t="shared" ref="P88:P89" si="60">SUM(D88:O88)</f>
        <v>1628237.4</v>
      </c>
    </row>
    <row r="89" spans="1:30">
      <c r="A89" s="3" t="s">
        <v>30</v>
      </c>
      <c r="B89" s="5"/>
      <c r="C89" s="5"/>
      <c r="D89" s="4">
        <f>D78+D79+D80+D81+D82+E83+D84+D85+D86+D87</f>
        <v>118671.94</v>
      </c>
      <c r="E89" s="4">
        <f t="shared" ref="E89" si="61">E78+E79+E80+E81+E82+F83+E84+E85+E86+E87</f>
        <v>136357.62</v>
      </c>
      <c r="F89" s="4">
        <f t="shared" ref="F89" si="62">F78+F79+F80+F81+F82+G83+F84+F85+F86+F87</f>
        <v>152706.15999999997</v>
      </c>
      <c r="G89" s="4">
        <f t="shared" ref="G89" si="63">G78+G79+G80+G81+G82+H83+G84+G85+G86+G87</f>
        <v>140247.16999999998</v>
      </c>
      <c r="H89" s="4">
        <f t="shared" ref="H89" si="64">H78+H79+H80+H81+H82+I83+H84+H85+H86+H87</f>
        <v>144088.06999999998</v>
      </c>
      <c r="I89" s="4">
        <f t="shared" ref="I89" si="65">I78+I79+I80+I81+I82+J83+I84+I85+I86+I87</f>
        <v>108408.87</v>
      </c>
      <c r="J89" s="4">
        <f t="shared" ref="J89" si="66">J78+J79+J80+J81+J82+K83+J84+J85+J86+J87</f>
        <v>128829.36</v>
      </c>
      <c r="K89" s="4">
        <f t="shared" ref="K89" si="67">K78+K79+K80+K81+K82+L83+K84+K85+K86+K87</f>
        <v>129003.68</v>
      </c>
      <c r="L89" s="4">
        <f t="shared" ref="L89" si="68">L78+L79+L80+L81+L82+M83+L84+L85+L86+L87</f>
        <v>150598.98000000001</v>
      </c>
      <c r="M89" s="4">
        <f t="shared" ref="M89" si="69">M78+M79+M80+M81+M82+N83+M84+M85+M86+M87</f>
        <v>147134.79999999999</v>
      </c>
      <c r="N89" s="4">
        <f t="shared" ref="N89" si="70">N78+N79+N80+N81+N82+O83+N84+N85+N86+N87</f>
        <v>136503.01999999999</v>
      </c>
      <c r="O89" s="4">
        <f>O78+O79+O80+O81+O82+O84+O85+O86+O87+O83</f>
        <v>137771.45000000001</v>
      </c>
      <c r="P89" s="10">
        <f t="shared" si="60"/>
        <v>1630321.1199999999</v>
      </c>
    </row>
    <row r="90" spans="1:30">
      <c r="A90" s="3"/>
      <c r="B90" s="5"/>
      <c r="C90" s="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/>
    </row>
    <row r="91" spans="1:30">
      <c r="A91" s="3" t="s">
        <v>31</v>
      </c>
      <c r="B91" s="5"/>
      <c r="C91" s="5"/>
      <c r="D91" s="4">
        <f>D89*1.05</f>
        <v>124605.53700000001</v>
      </c>
      <c r="E91" s="4">
        <f t="shared" ref="E91:O91" si="71">E89*1.05</f>
        <v>143175.50099999999</v>
      </c>
      <c r="F91" s="4">
        <f t="shared" si="71"/>
        <v>160341.46799999999</v>
      </c>
      <c r="G91" s="4">
        <f t="shared" si="71"/>
        <v>147259.52849999999</v>
      </c>
      <c r="H91" s="4">
        <f t="shared" si="71"/>
        <v>151292.47349999999</v>
      </c>
      <c r="I91" s="4">
        <f t="shared" si="71"/>
        <v>113829.3135</v>
      </c>
      <c r="J91" s="4">
        <f t="shared" si="71"/>
        <v>135270.82800000001</v>
      </c>
      <c r="K91" s="4">
        <f t="shared" si="71"/>
        <v>135453.864</v>
      </c>
      <c r="L91" s="4">
        <f t="shared" si="71"/>
        <v>158128.929</v>
      </c>
      <c r="M91" s="4">
        <f t="shared" si="71"/>
        <v>154491.54</v>
      </c>
      <c r="N91" s="4">
        <f t="shared" si="71"/>
        <v>143328.171</v>
      </c>
      <c r="O91" s="4">
        <f t="shared" si="71"/>
        <v>144660.02250000002</v>
      </c>
      <c r="P91" s="6">
        <f>SUM(D91:O91)</f>
        <v>1711837.176</v>
      </c>
    </row>
    <row r="92" spans="1:30">
      <c r="A92" s="3" t="s">
        <v>32</v>
      </c>
      <c r="B92" s="5"/>
      <c r="C92" s="5"/>
      <c r="D92" s="4">
        <f>D91*1.1</f>
        <v>137066.09070000003</v>
      </c>
      <c r="E92" s="4">
        <f t="shared" ref="E92:O92" si="72">E91*1.1</f>
        <v>157493.05110000001</v>
      </c>
      <c r="F92" s="4">
        <f t="shared" si="72"/>
        <v>176375.61480000001</v>
      </c>
      <c r="G92" s="4">
        <f t="shared" si="72"/>
        <v>161985.48134999999</v>
      </c>
      <c r="H92" s="4">
        <f t="shared" si="72"/>
        <v>166421.72085000001</v>
      </c>
      <c r="I92" s="4">
        <f t="shared" si="72"/>
        <v>125212.24485000002</v>
      </c>
      <c r="J92" s="4">
        <f t="shared" si="72"/>
        <v>148797.91080000001</v>
      </c>
      <c r="K92" s="4">
        <f t="shared" si="72"/>
        <v>148999.25040000002</v>
      </c>
      <c r="L92" s="4">
        <f t="shared" si="72"/>
        <v>173941.82190000001</v>
      </c>
      <c r="M92" s="4">
        <f t="shared" si="72"/>
        <v>169940.69400000002</v>
      </c>
      <c r="N92" s="4">
        <f t="shared" si="72"/>
        <v>157660.98810000002</v>
      </c>
      <c r="O92" s="4">
        <f t="shared" si="72"/>
        <v>159126.02475000004</v>
      </c>
      <c r="P92" s="6">
        <f>SUM(D92:O92)</f>
        <v>1883020.8936000005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22A3-D545-4984-AD59-47DF9C8DBE09}">
  <dimension ref="A1:N120"/>
  <sheetViews>
    <sheetView workbookViewId="0">
      <selection activeCell="M17" sqref="M17"/>
    </sheetView>
  </sheetViews>
  <sheetFormatPr defaultColWidth="11.42578125" defaultRowHeight="14.45"/>
  <cols>
    <col min="1" max="1" width="26.5703125" bestFit="1" customWidth="1"/>
    <col min="2" max="4" width="12.42578125" bestFit="1" customWidth="1"/>
    <col min="5" max="13" width="14" bestFit="1" customWidth="1"/>
    <col min="14" max="14" width="15" bestFit="1" customWidth="1"/>
  </cols>
  <sheetData>
    <row r="1" spans="1:14">
      <c r="A1">
        <v>2020</v>
      </c>
    </row>
    <row r="2" spans="1:14"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19</v>
      </c>
    </row>
    <row r="3" spans="1:14">
      <c r="A3" t="s">
        <v>46</v>
      </c>
      <c r="B3" s="12">
        <v>43154</v>
      </c>
      <c r="C3" s="12">
        <f>B18+B19</f>
        <v>34982.959999999999</v>
      </c>
      <c r="D3" s="12">
        <f>C19+C18</f>
        <v>45640.759999999995</v>
      </c>
      <c r="E3" s="12">
        <f>D18+D19</f>
        <v>67542.759999999995</v>
      </c>
      <c r="F3" s="12">
        <f>E19+E18</f>
        <v>76182.299999999988</v>
      </c>
      <c r="G3" s="12">
        <f>F18+F19</f>
        <v>82123.979999999981</v>
      </c>
      <c r="H3" s="12">
        <f>G18+G19</f>
        <v>80096.579999999987</v>
      </c>
      <c r="I3" s="12">
        <f t="shared" ref="I3:M3" si="0">H18+H19</f>
        <v>77909.779999999984</v>
      </c>
      <c r="J3" s="12">
        <f t="shared" si="0"/>
        <v>90093.579999999973</v>
      </c>
      <c r="K3" s="12">
        <f t="shared" si="0"/>
        <v>109200.05999999995</v>
      </c>
      <c r="L3" s="12">
        <f t="shared" si="0"/>
        <v>121938.45999999993</v>
      </c>
      <c r="M3" s="12">
        <f t="shared" si="0"/>
        <v>129216.25999999994</v>
      </c>
      <c r="N3" s="11">
        <f>SUM(B3:M3)</f>
        <v>958081.47999999975</v>
      </c>
    </row>
    <row r="4" spans="1:14">
      <c r="A4" t="s">
        <v>47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4">
      <c r="A5" t="s">
        <v>48</v>
      </c>
      <c r="B5" s="12">
        <f>VENTAS!D13</f>
        <v>45200</v>
      </c>
      <c r="C5" s="12">
        <f>VENTAS!E13</f>
        <v>71050</v>
      </c>
      <c r="D5" s="12">
        <f>VENTAS!F13</f>
        <v>77800</v>
      </c>
      <c r="E5" s="12">
        <f>VENTAS!G13</f>
        <v>62400</v>
      </c>
      <c r="F5" s="12">
        <f>VENTAS!H13</f>
        <v>67900</v>
      </c>
      <c r="G5" s="12">
        <f>VENTAS!I13</f>
        <v>52300</v>
      </c>
      <c r="H5" s="12">
        <f>VENTAS!J13</f>
        <v>52050</v>
      </c>
      <c r="I5" s="12">
        <f>VENTAS!K13</f>
        <v>64200</v>
      </c>
      <c r="J5" s="12">
        <f>VENTAS!L13</f>
        <v>74350</v>
      </c>
      <c r="K5" s="12">
        <f>VENTAS!M13</f>
        <v>72300</v>
      </c>
      <c r="L5" s="12">
        <f>VENTAS!N13</f>
        <v>69000</v>
      </c>
      <c r="M5" s="12">
        <f>VENTAS!O13</f>
        <v>69700</v>
      </c>
      <c r="N5" s="11">
        <f>SUM(B5:M5)</f>
        <v>778250</v>
      </c>
    </row>
    <row r="6" spans="1:14">
      <c r="A6" t="s">
        <v>49</v>
      </c>
      <c r="B6" s="12">
        <f t="shared" ref="B6:G6" si="1">B5+B3</f>
        <v>88354</v>
      </c>
      <c r="C6" s="12">
        <f t="shared" si="1"/>
        <v>106032.95999999999</v>
      </c>
      <c r="D6" s="12">
        <f t="shared" si="1"/>
        <v>123440.76</v>
      </c>
      <c r="E6" s="12">
        <f t="shared" si="1"/>
        <v>129942.76</v>
      </c>
      <c r="F6" s="12">
        <f t="shared" si="1"/>
        <v>144082.29999999999</v>
      </c>
      <c r="G6" s="12">
        <f t="shared" si="1"/>
        <v>134423.97999999998</v>
      </c>
      <c r="H6" s="12">
        <f t="shared" ref="H6:M6" si="2">H5+H3</f>
        <v>132146.57999999999</v>
      </c>
      <c r="I6" s="12">
        <f t="shared" si="2"/>
        <v>142109.77999999997</v>
      </c>
      <c r="J6" s="12">
        <f t="shared" si="2"/>
        <v>164443.57999999996</v>
      </c>
      <c r="K6" s="12">
        <f t="shared" si="2"/>
        <v>181500.05999999994</v>
      </c>
      <c r="L6" s="12">
        <f t="shared" si="2"/>
        <v>190938.45999999993</v>
      </c>
      <c r="M6" s="12">
        <f t="shared" si="2"/>
        <v>198916.25999999995</v>
      </c>
      <c r="N6" s="11">
        <f>SUM(B6:M6)</f>
        <v>1736331.4799999997</v>
      </c>
    </row>
    <row r="7" spans="1:14">
      <c r="A7" t="s">
        <v>50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4">
      <c r="A8" t="s">
        <v>51</v>
      </c>
      <c r="B8" s="12">
        <v>0</v>
      </c>
      <c r="C8" s="12">
        <v>1800</v>
      </c>
      <c r="D8" s="12">
        <v>0</v>
      </c>
      <c r="E8" s="12">
        <v>1800</v>
      </c>
      <c r="F8" s="12">
        <v>0</v>
      </c>
      <c r="G8" s="12">
        <v>1800</v>
      </c>
      <c r="H8" s="12">
        <v>0</v>
      </c>
      <c r="I8" s="12">
        <v>1800</v>
      </c>
      <c r="J8" s="12">
        <v>0</v>
      </c>
      <c r="K8" s="12">
        <v>1800</v>
      </c>
      <c r="L8" s="12">
        <v>0</v>
      </c>
      <c r="M8" s="12">
        <v>1800</v>
      </c>
      <c r="N8" s="11">
        <f>SUM(B8:M8)</f>
        <v>10800</v>
      </c>
    </row>
    <row r="9" spans="1:14">
      <c r="A9" t="s">
        <v>52</v>
      </c>
      <c r="B9" s="12">
        <v>250</v>
      </c>
      <c r="C9" s="12">
        <v>320</v>
      </c>
      <c r="D9" s="12">
        <v>240</v>
      </c>
      <c r="E9" s="12">
        <v>250</v>
      </c>
      <c r="F9" s="12">
        <v>320</v>
      </c>
      <c r="G9" s="12">
        <v>250</v>
      </c>
      <c r="H9" s="12">
        <v>240</v>
      </c>
      <c r="I9" s="12">
        <v>250</v>
      </c>
      <c r="J9" s="12">
        <v>250</v>
      </c>
      <c r="K9" s="12">
        <v>320</v>
      </c>
      <c r="L9" s="12">
        <v>250</v>
      </c>
      <c r="M9" s="12">
        <v>350</v>
      </c>
      <c r="N9" s="11">
        <f>SUM(B9:M9)</f>
        <v>3290</v>
      </c>
    </row>
    <row r="10" spans="1:14">
      <c r="A10" t="s">
        <v>53</v>
      </c>
      <c r="B10" s="12">
        <v>1000</v>
      </c>
      <c r="C10" s="12">
        <v>349</v>
      </c>
      <c r="D10" s="12">
        <v>349</v>
      </c>
      <c r="E10" s="12">
        <v>349</v>
      </c>
      <c r="F10" s="12">
        <v>349</v>
      </c>
      <c r="G10" s="12">
        <v>349</v>
      </c>
      <c r="H10" s="12">
        <v>349</v>
      </c>
      <c r="I10" s="12">
        <v>349</v>
      </c>
      <c r="J10" s="12">
        <v>349</v>
      </c>
      <c r="K10" s="12">
        <v>349</v>
      </c>
      <c r="L10" s="12">
        <v>349</v>
      </c>
      <c r="M10" s="12">
        <v>349</v>
      </c>
      <c r="N10" s="11">
        <f>SUM(B10:M10)</f>
        <v>4839</v>
      </c>
    </row>
    <row r="11" spans="1:14">
      <c r="A11" t="s">
        <v>54</v>
      </c>
      <c r="B11" s="12">
        <v>18000</v>
      </c>
      <c r="C11" s="12">
        <v>9000</v>
      </c>
      <c r="D11" s="12">
        <v>9000</v>
      </c>
      <c r="E11" s="12">
        <v>9000</v>
      </c>
      <c r="F11" s="12">
        <v>9000</v>
      </c>
      <c r="G11" s="12">
        <v>9000</v>
      </c>
      <c r="H11" s="12">
        <v>9000</v>
      </c>
      <c r="I11" s="12">
        <v>9000</v>
      </c>
      <c r="J11" s="12">
        <v>9000</v>
      </c>
      <c r="K11" s="12">
        <v>9000</v>
      </c>
      <c r="L11" s="12">
        <v>9000</v>
      </c>
      <c r="M11" s="12">
        <v>9000</v>
      </c>
      <c r="N11" s="11">
        <f>SUM(B11:M11)</f>
        <v>117000</v>
      </c>
    </row>
    <row r="12" spans="1:14">
      <c r="A12" t="s">
        <v>55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650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650</v>
      </c>
      <c r="N12" s="11">
        <f t="shared" ref="N12:N18" si="3">SUM(B12:M12)</f>
        <v>1300</v>
      </c>
    </row>
    <row r="13" spans="1:14">
      <c r="A13" t="s">
        <v>56</v>
      </c>
      <c r="B13" s="12">
        <v>19000</v>
      </c>
      <c r="C13" s="12">
        <v>19000</v>
      </c>
      <c r="D13" s="12">
        <v>19000</v>
      </c>
      <c r="E13" s="12">
        <v>19000</v>
      </c>
      <c r="F13" s="12">
        <v>19000</v>
      </c>
      <c r="G13" s="12">
        <v>19000</v>
      </c>
      <c r="H13" s="12">
        <v>19000</v>
      </c>
      <c r="I13" s="12">
        <v>19000</v>
      </c>
      <c r="J13" s="12">
        <v>19000</v>
      </c>
      <c r="K13" s="12">
        <v>19000</v>
      </c>
      <c r="L13" s="12">
        <v>19000</v>
      </c>
      <c r="M13" s="12">
        <v>19000</v>
      </c>
      <c r="N13" s="11">
        <f t="shared" si="3"/>
        <v>228000</v>
      </c>
    </row>
    <row r="14" spans="1:14">
      <c r="A14" t="s">
        <v>57</v>
      </c>
      <c r="B14" s="12">
        <v>544</v>
      </c>
      <c r="C14" s="12">
        <v>544</v>
      </c>
      <c r="D14" s="12">
        <v>544</v>
      </c>
      <c r="E14" s="12">
        <v>544</v>
      </c>
      <c r="F14" s="12">
        <v>544</v>
      </c>
      <c r="G14" s="12">
        <v>544</v>
      </c>
      <c r="H14" s="12">
        <v>544</v>
      </c>
      <c r="I14" s="12">
        <v>544</v>
      </c>
      <c r="J14" s="12">
        <v>544</v>
      </c>
      <c r="K14" s="12">
        <v>544</v>
      </c>
      <c r="L14" s="12">
        <v>544</v>
      </c>
      <c r="M14" s="12">
        <v>544</v>
      </c>
      <c r="N14" s="11">
        <f t="shared" si="3"/>
        <v>6528</v>
      </c>
    </row>
    <row r="15" spans="1:14">
      <c r="A15" t="s">
        <v>58</v>
      </c>
      <c r="B15" s="12">
        <v>0</v>
      </c>
      <c r="C15" s="12">
        <v>2800</v>
      </c>
      <c r="D15" s="12">
        <v>6000</v>
      </c>
      <c r="E15" s="12">
        <v>2800</v>
      </c>
      <c r="F15" s="12">
        <v>6000</v>
      </c>
      <c r="G15" s="12">
        <v>2800</v>
      </c>
      <c r="H15" s="12">
        <v>6000</v>
      </c>
      <c r="I15" s="12">
        <v>2800</v>
      </c>
      <c r="J15" s="12">
        <v>6000</v>
      </c>
      <c r="K15" s="12">
        <v>2800</v>
      </c>
      <c r="L15" s="12">
        <v>6000</v>
      </c>
      <c r="M15" s="12">
        <v>2800</v>
      </c>
      <c r="N15" s="11">
        <f t="shared" si="3"/>
        <v>46800</v>
      </c>
    </row>
    <row r="16" spans="1:14">
      <c r="A16" t="s">
        <v>59</v>
      </c>
      <c r="B16" s="12">
        <v>14577.04</v>
      </c>
      <c r="C16" s="12">
        <v>26579.200000000001</v>
      </c>
      <c r="D16" s="12">
        <v>20765</v>
      </c>
      <c r="E16" s="12">
        <v>20017.46</v>
      </c>
      <c r="F16" s="12">
        <v>26745.32</v>
      </c>
      <c r="G16" s="12">
        <v>19934.400000000001</v>
      </c>
      <c r="H16" s="12">
        <v>19103.8</v>
      </c>
      <c r="I16" s="12">
        <v>18273.2</v>
      </c>
      <c r="J16" s="12">
        <v>20100.52</v>
      </c>
      <c r="K16" s="12">
        <v>25748.6</v>
      </c>
      <c r="L16" s="12">
        <v>26579.200000000001</v>
      </c>
      <c r="M16" s="12">
        <v>27409.8</v>
      </c>
      <c r="N16" s="11">
        <f t="shared" si="3"/>
        <v>265833.54000000004</v>
      </c>
    </row>
    <row r="17" spans="1:14">
      <c r="A17" t="s">
        <v>60</v>
      </c>
      <c r="B17" s="12">
        <f>B6-B8-B9-B10-B11-B12-B13-B14-B15-B16</f>
        <v>34982.959999999999</v>
      </c>
      <c r="C17" s="12">
        <f>C6-C8-C9-C10-C11-C12-C13-C14-C15-C16</f>
        <v>45640.759999999995</v>
      </c>
      <c r="D17" s="12">
        <f>D6-D8-D9-D10-D11-D12-D13-D14-D15-D16</f>
        <v>67542.759999999995</v>
      </c>
      <c r="E17" s="12">
        <f>E6-E8-E9-E10-E11-E12-E13-E14-E15-E16</f>
        <v>76182.299999999988</v>
      </c>
      <c r="F17" s="12">
        <f t="shared" ref="F17:M17" si="4">F6-F8-F9-F10-F11-F12-F13-F14-F15-F16</f>
        <v>82123.979999999981</v>
      </c>
      <c r="G17" s="12">
        <f t="shared" si="4"/>
        <v>80096.579999999987</v>
      </c>
      <c r="H17" s="12">
        <f t="shared" si="4"/>
        <v>77909.779999999984</v>
      </c>
      <c r="I17" s="12">
        <f t="shared" si="4"/>
        <v>90093.579999999973</v>
      </c>
      <c r="J17" s="12">
        <f t="shared" si="4"/>
        <v>109200.05999999995</v>
      </c>
      <c r="K17" s="12">
        <f t="shared" si="4"/>
        <v>121938.45999999993</v>
      </c>
      <c r="L17" s="12">
        <f t="shared" si="4"/>
        <v>129216.25999999994</v>
      </c>
      <c r="M17" s="12">
        <f t="shared" si="4"/>
        <v>137013.45999999996</v>
      </c>
      <c r="N17" s="11">
        <f t="shared" si="3"/>
        <v>1051940.9399999997</v>
      </c>
    </row>
    <row r="18" spans="1:14">
      <c r="A18" t="s">
        <v>61</v>
      </c>
      <c r="B18" s="12">
        <v>25000</v>
      </c>
      <c r="C18" s="12">
        <v>25000</v>
      </c>
      <c r="D18" s="12">
        <v>25000</v>
      </c>
      <c r="E18" s="12">
        <v>25000</v>
      </c>
      <c r="F18" s="12">
        <v>25000</v>
      </c>
      <c r="G18" s="12">
        <v>25000</v>
      </c>
      <c r="H18" s="12">
        <v>25000</v>
      </c>
      <c r="I18" s="12">
        <v>25000</v>
      </c>
      <c r="J18" s="12">
        <v>25000</v>
      </c>
      <c r="K18" s="12">
        <v>25000</v>
      </c>
      <c r="L18" s="12">
        <v>25000</v>
      </c>
      <c r="M18" s="12">
        <v>25000</v>
      </c>
      <c r="N18" s="11">
        <f t="shared" si="3"/>
        <v>300000</v>
      </c>
    </row>
    <row r="19" spans="1:14">
      <c r="A19" t="s">
        <v>62</v>
      </c>
      <c r="B19" s="12">
        <f>B17-B18</f>
        <v>9982.9599999999991</v>
      </c>
      <c r="C19" s="12">
        <f>C17-C18</f>
        <v>20640.759999999995</v>
      </c>
      <c r="D19" s="12">
        <f>D17-D18</f>
        <v>42542.759999999995</v>
      </c>
      <c r="E19" s="12">
        <f>E17-E18</f>
        <v>51182.299999999988</v>
      </c>
      <c r="F19" s="12">
        <f>F17-F18</f>
        <v>57123.979999999981</v>
      </c>
      <c r="G19" s="12">
        <f t="shared" ref="G19:M19" si="5">G17-G18</f>
        <v>55096.579999999987</v>
      </c>
      <c r="H19" s="12">
        <f t="shared" si="5"/>
        <v>52909.779999999984</v>
      </c>
      <c r="I19" s="12">
        <f t="shared" si="5"/>
        <v>65093.579999999973</v>
      </c>
      <c r="J19" s="12">
        <f t="shared" si="5"/>
        <v>84200.059999999954</v>
      </c>
      <c r="K19" s="12">
        <f t="shared" si="5"/>
        <v>96938.459999999934</v>
      </c>
      <c r="L19" s="12">
        <f t="shared" si="5"/>
        <v>104216.25999999994</v>
      </c>
      <c r="M19" s="12">
        <f t="shared" si="5"/>
        <v>112013.45999999996</v>
      </c>
      <c r="N19" s="11">
        <f>N6-N8-N9-N10-N11-N12-N13-N14-N15-N16</f>
        <v>1051940.9399999997</v>
      </c>
    </row>
    <row r="21" spans="1:14">
      <c r="A21">
        <v>2021</v>
      </c>
    </row>
    <row r="23" spans="1:14">
      <c r="B23" t="s">
        <v>34</v>
      </c>
      <c r="C23" t="s">
        <v>35</v>
      </c>
      <c r="D23" t="s">
        <v>36</v>
      </c>
      <c r="E23" t="s">
        <v>37</v>
      </c>
      <c r="F23" t="s">
        <v>38</v>
      </c>
      <c r="G23" t="s">
        <v>39</v>
      </c>
      <c r="H23" t="s">
        <v>40</v>
      </c>
      <c r="I23" t="s">
        <v>41</v>
      </c>
      <c r="J23" t="s">
        <v>42</v>
      </c>
      <c r="K23" t="s">
        <v>43</v>
      </c>
      <c r="L23" t="s">
        <v>44</v>
      </c>
      <c r="M23" t="s">
        <v>45</v>
      </c>
      <c r="N23" t="s">
        <v>19</v>
      </c>
    </row>
    <row r="24" spans="1:14">
      <c r="A24" t="s">
        <v>46</v>
      </c>
      <c r="B24" s="12">
        <f>M19+M18</f>
        <v>137013.45999999996</v>
      </c>
      <c r="C24" s="12">
        <f>B41+B42</f>
        <v>130180.48999999995</v>
      </c>
      <c r="D24" s="12">
        <f>C42+C41</f>
        <v>141635.90999999992</v>
      </c>
      <c r="E24" s="12">
        <f>D41+D42</f>
        <v>160679.8299999999</v>
      </c>
      <c r="F24" s="12">
        <f>E42+E41</f>
        <v>166396.03999999989</v>
      </c>
      <c r="G24" s="12">
        <f>F41+F42</f>
        <v>186131.75999999986</v>
      </c>
      <c r="H24" s="12">
        <f>G41+G42</f>
        <v>180374.25999999986</v>
      </c>
      <c r="I24" s="12">
        <f t="shared" ref="I24:M24" si="6">H41+H42</f>
        <v>186523.96999999986</v>
      </c>
      <c r="J24" s="12">
        <f t="shared" si="6"/>
        <v>195767.63999999984</v>
      </c>
      <c r="K24" s="12">
        <f t="shared" si="6"/>
        <v>212757.90999999983</v>
      </c>
      <c r="L24" s="12">
        <f t="shared" si="6"/>
        <v>223066.1599999998</v>
      </c>
      <c r="M24" s="12">
        <f t="shared" si="6"/>
        <v>232158.41999999978</v>
      </c>
      <c r="N24" s="11">
        <f>SUM(B24:M24)</f>
        <v>2152685.8499999987</v>
      </c>
    </row>
    <row r="25" spans="1:14">
      <c r="A25" t="s">
        <v>47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4">
      <c r="A26" t="s">
        <v>48</v>
      </c>
      <c r="B26" s="12">
        <f>VENTAS!D31</f>
        <v>60317.5</v>
      </c>
      <c r="C26" s="12">
        <f>VENTAS!E31</f>
        <v>78855</v>
      </c>
      <c r="D26" s="12">
        <f>VENTAS!F31</f>
        <v>92190</v>
      </c>
      <c r="E26" s="12">
        <f>VENTAS!G31</f>
        <v>77490</v>
      </c>
      <c r="F26" s="12">
        <f>VENTAS!H31</f>
        <v>94710</v>
      </c>
      <c r="G26" s="12">
        <f>VENTAS!I31</f>
        <v>58065</v>
      </c>
      <c r="H26" s="12">
        <f>VENTAS!J31</f>
        <v>75022.5</v>
      </c>
      <c r="I26" s="12">
        <f>VENTAS!K31</f>
        <v>78750</v>
      </c>
      <c r="J26" s="12">
        <f>VENTAS!L31</f>
        <v>91455</v>
      </c>
      <c r="K26" s="12">
        <f>VENTAS!M31</f>
        <v>80062.5</v>
      </c>
      <c r="L26" s="12">
        <f>VENTAS!N31</f>
        <v>81900</v>
      </c>
      <c r="M26" s="12">
        <f>VENTAS!O31</f>
        <v>80325</v>
      </c>
      <c r="N26" s="11">
        <f>SUM(B26:M26)</f>
        <v>949142.5</v>
      </c>
    </row>
    <row r="27" spans="1:14">
      <c r="A27" t="s">
        <v>49</v>
      </c>
      <c r="B27" s="12">
        <f t="shared" ref="B27:G27" si="7">B26+B24</f>
        <v>197330.95999999996</v>
      </c>
      <c r="C27" s="12">
        <f t="shared" si="7"/>
        <v>209035.48999999993</v>
      </c>
      <c r="D27" s="12">
        <f t="shared" si="7"/>
        <v>233825.90999999992</v>
      </c>
      <c r="E27" s="12">
        <f t="shared" si="7"/>
        <v>238169.8299999999</v>
      </c>
      <c r="F27" s="12">
        <f t="shared" si="7"/>
        <v>261106.03999999989</v>
      </c>
      <c r="G27" s="12">
        <f t="shared" si="7"/>
        <v>244196.75999999986</v>
      </c>
      <c r="H27" s="12">
        <f t="shared" ref="H27" si="8">H26+H24</f>
        <v>255396.75999999986</v>
      </c>
      <c r="I27" s="12">
        <f t="shared" ref="I27" si="9">I26+I24</f>
        <v>265273.96999999986</v>
      </c>
      <c r="J27" s="12">
        <f t="shared" ref="J27" si="10">J26+J24</f>
        <v>287222.63999999984</v>
      </c>
      <c r="K27" s="12">
        <f t="shared" ref="K27" si="11">K26+K24</f>
        <v>292820.4099999998</v>
      </c>
      <c r="L27" s="12">
        <f t="shared" ref="L27" si="12">L26+L24</f>
        <v>304966.1599999998</v>
      </c>
      <c r="M27" s="12">
        <f t="shared" ref="M27" si="13">M26+M24</f>
        <v>312483.41999999981</v>
      </c>
      <c r="N27" s="11">
        <f>SUM(B27:M27)</f>
        <v>3101828.3499999978</v>
      </c>
    </row>
    <row r="28" spans="1:14">
      <c r="A28" t="s">
        <v>50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4">
      <c r="A29" t="s">
        <v>51</v>
      </c>
      <c r="B29" s="12">
        <v>0</v>
      </c>
      <c r="C29" s="12">
        <v>1890</v>
      </c>
      <c r="D29" s="12">
        <v>0</v>
      </c>
      <c r="E29" s="12">
        <v>1890</v>
      </c>
      <c r="F29" s="12">
        <v>0</v>
      </c>
      <c r="G29" s="12">
        <v>1890</v>
      </c>
      <c r="H29" s="12">
        <v>0</v>
      </c>
      <c r="I29" s="12">
        <v>1890</v>
      </c>
      <c r="J29" s="12">
        <v>0</v>
      </c>
      <c r="K29" s="12">
        <v>1890</v>
      </c>
      <c r="L29" s="12">
        <v>0</v>
      </c>
      <c r="M29" s="12">
        <v>1890</v>
      </c>
      <c r="N29" s="11">
        <f>SUM(B29:M29)</f>
        <v>11340</v>
      </c>
    </row>
    <row r="30" spans="1:14">
      <c r="A30" t="s">
        <v>52</v>
      </c>
      <c r="B30" s="12">
        <v>262.5</v>
      </c>
      <c r="C30" s="12">
        <v>336</v>
      </c>
      <c r="D30" s="12">
        <v>252</v>
      </c>
      <c r="E30" s="12">
        <v>262.5</v>
      </c>
      <c r="F30" s="12">
        <v>336</v>
      </c>
      <c r="G30" s="12">
        <v>262.5</v>
      </c>
      <c r="H30" s="12">
        <v>252</v>
      </c>
      <c r="I30" s="12">
        <v>262.5</v>
      </c>
      <c r="J30" s="12">
        <v>262.5</v>
      </c>
      <c r="K30" s="12">
        <v>336</v>
      </c>
      <c r="L30" s="12">
        <v>262.5</v>
      </c>
      <c r="M30" s="12">
        <v>367.5</v>
      </c>
      <c r="N30" s="11">
        <f>SUM(B30:M30)</f>
        <v>3454.5</v>
      </c>
    </row>
    <row r="31" spans="1:14">
      <c r="A31" t="s">
        <v>53</v>
      </c>
      <c r="B31" s="12">
        <v>1050</v>
      </c>
      <c r="C31" s="12">
        <v>366.45</v>
      </c>
      <c r="D31" s="12">
        <v>366.45</v>
      </c>
      <c r="E31" s="12">
        <v>366.45</v>
      </c>
      <c r="F31" s="12">
        <v>366.45</v>
      </c>
      <c r="G31" s="12">
        <v>366.45</v>
      </c>
      <c r="H31" s="12">
        <v>366.45</v>
      </c>
      <c r="I31" s="12">
        <v>366.45</v>
      </c>
      <c r="J31" s="12">
        <v>366.45</v>
      </c>
      <c r="K31" s="12">
        <v>366.45</v>
      </c>
      <c r="L31" s="12">
        <v>366.45</v>
      </c>
      <c r="M31" s="12">
        <v>366.45</v>
      </c>
      <c r="N31" s="11">
        <f>SUM(B31:M31)</f>
        <v>5080.9499999999989</v>
      </c>
    </row>
    <row r="32" spans="1:14">
      <c r="A32" t="s">
        <v>54</v>
      </c>
      <c r="B32" s="12">
        <v>9450</v>
      </c>
      <c r="C32" s="12">
        <v>9450</v>
      </c>
      <c r="D32" s="12">
        <v>9450</v>
      </c>
      <c r="E32" s="12">
        <v>9450</v>
      </c>
      <c r="F32" s="12">
        <v>9450</v>
      </c>
      <c r="G32" s="12">
        <v>9450</v>
      </c>
      <c r="H32" s="12">
        <v>9450</v>
      </c>
      <c r="I32" s="12">
        <v>9450</v>
      </c>
      <c r="J32" s="12">
        <v>9450</v>
      </c>
      <c r="K32" s="12">
        <v>9450</v>
      </c>
      <c r="L32" s="12">
        <v>9450</v>
      </c>
      <c r="M32" s="12">
        <v>9450</v>
      </c>
      <c r="N32" s="11">
        <f>SUM(B32:M32)</f>
        <v>113400</v>
      </c>
    </row>
    <row r="33" spans="1:14">
      <c r="A33" t="s">
        <v>55</v>
      </c>
      <c r="B33" s="12">
        <v>1682.5</v>
      </c>
      <c r="C33" s="12">
        <v>0</v>
      </c>
      <c r="D33" s="12">
        <v>0</v>
      </c>
      <c r="E33" s="12">
        <v>0</v>
      </c>
      <c r="F33" s="12">
        <v>0</v>
      </c>
      <c r="G33" s="12">
        <v>682.5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682.5</v>
      </c>
      <c r="N33" s="11">
        <f t="shared" ref="N33:N41" si="14">SUM(B33:M33)</f>
        <v>3047.5</v>
      </c>
    </row>
    <row r="34" spans="1:14">
      <c r="A34" t="s">
        <v>56</v>
      </c>
      <c r="B34" s="12">
        <v>19950</v>
      </c>
      <c r="C34" s="12">
        <v>19950</v>
      </c>
      <c r="D34" s="12">
        <v>19950</v>
      </c>
      <c r="E34" s="12">
        <v>19950</v>
      </c>
      <c r="F34" s="12">
        <v>19950</v>
      </c>
      <c r="G34" s="12">
        <v>19950</v>
      </c>
      <c r="H34" s="12">
        <v>19950</v>
      </c>
      <c r="I34" s="12">
        <v>19950</v>
      </c>
      <c r="J34" s="12">
        <v>19950</v>
      </c>
      <c r="K34" s="12">
        <v>19950</v>
      </c>
      <c r="L34" s="12">
        <v>19950</v>
      </c>
      <c r="M34" s="12">
        <v>19950</v>
      </c>
      <c r="N34" s="11">
        <f t="shared" si="14"/>
        <v>239400</v>
      </c>
    </row>
    <row r="35" spans="1:14">
      <c r="A35" t="s">
        <v>63</v>
      </c>
      <c r="B35" s="12">
        <v>1575</v>
      </c>
      <c r="C35" s="12">
        <v>1575</v>
      </c>
      <c r="D35" s="12">
        <v>1575</v>
      </c>
      <c r="E35" s="12">
        <v>1575</v>
      </c>
      <c r="F35" s="12">
        <v>1575</v>
      </c>
      <c r="G35" s="12">
        <v>1575</v>
      </c>
      <c r="H35" s="12">
        <v>1575</v>
      </c>
      <c r="I35" s="12">
        <v>1575</v>
      </c>
      <c r="J35" s="12">
        <v>1575</v>
      </c>
      <c r="K35" s="12">
        <v>1575</v>
      </c>
      <c r="L35" s="12">
        <v>1575</v>
      </c>
      <c r="M35" s="12">
        <v>1575</v>
      </c>
      <c r="N35" s="11">
        <f>SUM(B35:M35)</f>
        <v>18900</v>
      </c>
    </row>
    <row r="36" spans="1:14">
      <c r="A36" t="s">
        <v>58</v>
      </c>
      <c r="B36" s="12">
        <v>6300</v>
      </c>
      <c r="C36" s="12">
        <v>2940</v>
      </c>
      <c r="D36" s="12">
        <v>6300</v>
      </c>
      <c r="E36" s="12">
        <v>2940</v>
      </c>
      <c r="F36" s="12">
        <v>6300</v>
      </c>
      <c r="G36" s="12">
        <v>2940</v>
      </c>
      <c r="H36" s="12">
        <v>6300</v>
      </c>
      <c r="I36" s="12">
        <v>2940</v>
      </c>
      <c r="J36" s="12">
        <v>6300</v>
      </c>
      <c r="K36" s="12">
        <v>2940</v>
      </c>
      <c r="L36" s="12">
        <v>6300</v>
      </c>
      <c r="M36" s="12">
        <v>2940</v>
      </c>
      <c r="N36" s="11">
        <f t="shared" si="14"/>
        <v>55440</v>
      </c>
    </row>
    <row r="37" spans="1:14">
      <c r="A37" t="s">
        <v>57</v>
      </c>
      <c r="B37" s="12">
        <v>571.20000000000005</v>
      </c>
      <c r="C37" s="12">
        <v>571.20000000000005</v>
      </c>
      <c r="D37" s="12">
        <v>571.20000000000005</v>
      </c>
      <c r="E37" s="12">
        <v>571.20000000000005</v>
      </c>
      <c r="F37" s="12">
        <v>571.20000000000005</v>
      </c>
      <c r="G37" s="12">
        <v>571.20000000000005</v>
      </c>
      <c r="H37" s="12">
        <v>571.20000000000005</v>
      </c>
      <c r="I37" s="12">
        <v>571.20000000000005</v>
      </c>
      <c r="J37" s="12">
        <v>571.20000000000005</v>
      </c>
      <c r="K37" s="12">
        <v>571.20000000000005</v>
      </c>
      <c r="L37" s="12">
        <v>571.20000000000005</v>
      </c>
      <c r="M37" s="12">
        <v>571.20000000000005</v>
      </c>
      <c r="N37" s="11">
        <f t="shared" si="14"/>
        <v>6854.3999999999987</v>
      </c>
    </row>
    <row r="38" spans="1:14">
      <c r="A38" t="s">
        <v>64</v>
      </c>
      <c r="B38" s="12">
        <v>3285.83</v>
      </c>
      <c r="C38" s="12">
        <v>3285.83</v>
      </c>
      <c r="D38" s="12">
        <v>3285.83</v>
      </c>
      <c r="E38" s="12">
        <v>3285.83</v>
      </c>
      <c r="F38" s="12">
        <v>3285.83</v>
      </c>
      <c r="G38" s="12">
        <v>3285.83</v>
      </c>
      <c r="H38" s="12">
        <v>3285.83</v>
      </c>
      <c r="I38" s="12">
        <v>3285.83</v>
      </c>
      <c r="J38" s="12">
        <v>3285.83</v>
      </c>
      <c r="K38" s="12">
        <v>3285.83</v>
      </c>
      <c r="L38" s="12">
        <v>3285.83</v>
      </c>
      <c r="M38" s="12">
        <v>3285.83</v>
      </c>
      <c r="N38" s="11">
        <f>SUM(B38:M38)</f>
        <v>39429.960000000014</v>
      </c>
    </row>
    <row r="39" spans="1:14">
      <c r="A39" t="s">
        <v>59</v>
      </c>
      <c r="B39" s="12">
        <v>23023.439999999999</v>
      </c>
      <c r="C39" s="12">
        <v>27035.1</v>
      </c>
      <c r="D39" s="12">
        <v>31395.599999999999</v>
      </c>
      <c r="E39" s="12">
        <v>31482.81</v>
      </c>
      <c r="F39" s="12">
        <v>33139.800000000003</v>
      </c>
      <c r="G39" s="12">
        <v>22849.02</v>
      </c>
      <c r="H39" s="12">
        <v>27122.31</v>
      </c>
      <c r="I39" s="12">
        <v>29215.35</v>
      </c>
      <c r="J39" s="12">
        <v>32703.75</v>
      </c>
      <c r="K39" s="12">
        <v>29389.77</v>
      </c>
      <c r="L39" s="12">
        <v>31046.76</v>
      </c>
      <c r="M39" s="12">
        <v>31308.39</v>
      </c>
      <c r="N39" s="11">
        <f t="shared" si="14"/>
        <v>349712.10000000003</v>
      </c>
    </row>
    <row r="40" spans="1:14">
      <c r="A40" t="s">
        <v>60</v>
      </c>
      <c r="B40" s="12">
        <f>B27-B29-B30-B31-B32-B33-B34-B35-B36-B37-B39-B38</f>
        <v>130180.48999999995</v>
      </c>
      <c r="C40" s="12">
        <f>C27-C29-C30-C31-C32-C33-C34-C36-C37-C39-C35-C38</f>
        <v>141635.90999999992</v>
      </c>
      <c r="D40" s="12">
        <f t="shared" ref="D40:M40" si="15">D27-D29-D30-D31-D32-D33-D34-D36-D37-D39-D35-D38</f>
        <v>160679.8299999999</v>
      </c>
      <c r="E40" s="12">
        <f t="shared" si="15"/>
        <v>166396.03999999989</v>
      </c>
      <c r="F40" s="12">
        <f t="shared" si="15"/>
        <v>186131.75999999986</v>
      </c>
      <c r="G40" s="12">
        <f t="shared" si="15"/>
        <v>180374.25999999986</v>
      </c>
      <c r="H40" s="12">
        <f t="shared" si="15"/>
        <v>186523.96999999986</v>
      </c>
      <c r="I40" s="12">
        <f t="shared" si="15"/>
        <v>195767.63999999984</v>
      </c>
      <c r="J40" s="12">
        <f t="shared" si="15"/>
        <v>212757.90999999983</v>
      </c>
      <c r="K40" s="12">
        <f t="shared" si="15"/>
        <v>223066.1599999998</v>
      </c>
      <c r="L40" s="12">
        <f t="shared" si="15"/>
        <v>232158.41999999978</v>
      </c>
      <c r="M40" s="12">
        <f t="shared" si="15"/>
        <v>240096.54999999978</v>
      </c>
      <c r="N40" s="11">
        <f t="shared" si="14"/>
        <v>2255768.9399999981</v>
      </c>
    </row>
    <row r="41" spans="1:14">
      <c r="A41" t="s">
        <v>61</v>
      </c>
      <c r="B41" s="12">
        <v>26250</v>
      </c>
      <c r="C41" s="12">
        <v>26250</v>
      </c>
      <c r="D41" s="12">
        <v>26250</v>
      </c>
      <c r="E41" s="12">
        <v>26250</v>
      </c>
      <c r="F41" s="12">
        <v>26250</v>
      </c>
      <c r="G41" s="12">
        <v>26250</v>
      </c>
      <c r="H41" s="12">
        <v>26250</v>
      </c>
      <c r="I41" s="12">
        <v>26250</v>
      </c>
      <c r="J41" s="12">
        <v>26250</v>
      </c>
      <c r="K41" s="12">
        <v>26250</v>
      </c>
      <c r="L41" s="12">
        <v>26250</v>
      </c>
      <c r="M41" s="12">
        <v>26250</v>
      </c>
      <c r="N41" s="11">
        <f t="shared" si="14"/>
        <v>315000</v>
      </c>
    </row>
    <row r="42" spans="1:14">
      <c r="A42" t="s">
        <v>62</v>
      </c>
      <c r="B42" s="12">
        <f>B40-B41</f>
        <v>103930.48999999995</v>
      </c>
      <c r="C42" s="12">
        <f>C40-C41</f>
        <v>115385.90999999992</v>
      </c>
      <c r="D42" s="12">
        <f>D40-D41</f>
        <v>134429.8299999999</v>
      </c>
      <c r="E42" s="12">
        <f>E40-E41</f>
        <v>140146.03999999989</v>
      </c>
      <c r="F42" s="12">
        <f>F40-F41</f>
        <v>159881.75999999986</v>
      </c>
      <c r="G42" s="12">
        <f t="shared" ref="G42" si="16">G40-G41</f>
        <v>154124.25999999986</v>
      </c>
      <c r="H42" s="12">
        <f t="shared" ref="H42" si="17">H40-H41</f>
        <v>160273.96999999986</v>
      </c>
      <c r="I42" s="12">
        <f t="shared" ref="I42" si="18">I40-I41</f>
        <v>169517.63999999984</v>
      </c>
      <c r="J42" s="12">
        <f t="shared" ref="J42" si="19">J40-J41</f>
        <v>186507.90999999983</v>
      </c>
      <c r="K42" s="12">
        <f t="shared" ref="K42" si="20">K40-K41</f>
        <v>196816.1599999998</v>
      </c>
      <c r="L42" s="12">
        <f t="shared" ref="L42" si="21">L40-L41</f>
        <v>205908.41999999978</v>
      </c>
      <c r="M42" s="12">
        <f t="shared" ref="M42" si="22">M40-M41</f>
        <v>213846.54999999978</v>
      </c>
      <c r="N42" s="11">
        <f>SUM(B42:M42)</f>
        <v>1940768.9399999983</v>
      </c>
    </row>
    <row r="44" spans="1:14">
      <c r="A44">
        <v>2022</v>
      </c>
    </row>
    <row r="46" spans="1:14">
      <c r="B46" t="s">
        <v>34</v>
      </c>
      <c r="C46" t="s">
        <v>35</v>
      </c>
      <c r="D46" t="s">
        <v>36</v>
      </c>
      <c r="E46" t="s">
        <v>37</v>
      </c>
      <c r="F46" t="s">
        <v>38</v>
      </c>
      <c r="G46" t="s">
        <v>39</v>
      </c>
      <c r="H46" t="s">
        <v>40</v>
      </c>
      <c r="I46" t="s">
        <v>41</v>
      </c>
      <c r="J46" t="s">
        <v>42</v>
      </c>
      <c r="K46" t="s">
        <v>43</v>
      </c>
      <c r="L46" t="s">
        <v>44</v>
      </c>
      <c r="M46" t="s">
        <v>45</v>
      </c>
      <c r="N46" t="s">
        <v>19</v>
      </c>
    </row>
    <row r="47" spans="1:14">
      <c r="A47" t="s">
        <v>46</v>
      </c>
      <c r="B47" s="12">
        <f>M42+M41</f>
        <v>240096.54999999978</v>
      </c>
      <c r="C47" s="12">
        <f>B67+B68</f>
        <v>293109.80999999976</v>
      </c>
      <c r="D47" s="12">
        <f>C68+C67</f>
        <v>311426.41999999969</v>
      </c>
      <c r="E47" s="12">
        <f>D67+D68</f>
        <v>336523.43999999971</v>
      </c>
      <c r="F47" s="12">
        <f>E68+E67</f>
        <v>354594.7599999996</v>
      </c>
      <c r="G47" s="12">
        <f>F67+F68</f>
        <v>377201.30999999959</v>
      </c>
      <c r="H47" s="12">
        <f>G67+G68</f>
        <v>384630.98999999958</v>
      </c>
      <c r="I47" s="12">
        <f t="shared" ref="I47:M47" si="23">H67+H68</f>
        <v>398664.98999999953</v>
      </c>
      <c r="J47" s="12">
        <f t="shared" si="23"/>
        <v>416668.20999999944</v>
      </c>
      <c r="K47" s="12">
        <f t="shared" si="23"/>
        <v>440046.02999999939</v>
      </c>
      <c r="L47" s="12">
        <f t="shared" si="23"/>
        <v>459605.3299999992</v>
      </c>
      <c r="M47" s="12">
        <f t="shared" si="23"/>
        <v>477548.84999999916</v>
      </c>
      <c r="N47" s="11">
        <f>SUM(B47:M47)</f>
        <v>4490116.6899999939</v>
      </c>
    </row>
    <row r="48" spans="1:14">
      <c r="A48" t="s">
        <v>47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4">
      <c r="A49" t="s">
        <v>48</v>
      </c>
      <c r="B49" s="12">
        <f>VENTAS!D50</f>
        <v>80027.899999999994</v>
      </c>
      <c r="C49" s="12">
        <f>VENTAS!E50</f>
        <v>96416.91</v>
      </c>
      <c r="D49" s="12">
        <f>VENTAS!F50</f>
        <v>110146.81999999999</v>
      </c>
      <c r="E49" s="12">
        <f>VENTAS!G50</f>
        <v>97468</v>
      </c>
      <c r="F49" s="12">
        <f>VENTAS!H50</f>
        <v>105913.15000000001</v>
      </c>
      <c r="G49" s="12">
        <f>VENTAS!I50</f>
        <v>80217.39</v>
      </c>
      <c r="H49" s="12">
        <f>VENTAS!J50</f>
        <v>89926.8</v>
      </c>
      <c r="I49" s="12">
        <f>VENTAS!K50</f>
        <v>89158.6</v>
      </c>
      <c r="J49" s="12">
        <f>VENTAS!L50</f>
        <v>104318</v>
      </c>
      <c r="K49" s="12">
        <f>VENTAS!M50</f>
        <v>99033.15</v>
      </c>
      <c r="L49" s="12">
        <f>VENTAS!N50</f>
        <v>97052.3</v>
      </c>
      <c r="M49" s="12">
        <f>VENTAS!O50</f>
        <v>96090.1</v>
      </c>
      <c r="N49" s="11">
        <f>SUM(B49:M49)</f>
        <v>1145769.1200000001</v>
      </c>
    </row>
    <row r="50" spans="1:14">
      <c r="A50" t="s">
        <v>65</v>
      </c>
      <c r="B50" s="12">
        <v>50000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1">
        <v>50000</v>
      </c>
    </row>
    <row r="51" spans="1:14">
      <c r="A51" t="s">
        <v>49</v>
      </c>
      <c r="B51" s="12">
        <f>B49+B47+B50</f>
        <v>370124.44999999978</v>
      </c>
      <c r="C51" s="12">
        <f>C49+C47</f>
        <v>389526.71999999974</v>
      </c>
      <c r="D51" s="12">
        <f>D49+D47</f>
        <v>421573.2399999997</v>
      </c>
      <c r="E51" s="12">
        <f>E49+E47</f>
        <v>433991.43999999971</v>
      </c>
      <c r="F51" s="12">
        <f>F49+F47</f>
        <v>460507.90999999963</v>
      </c>
      <c r="G51" s="12">
        <f>G49+G47</f>
        <v>457418.6999999996</v>
      </c>
      <c r="H51" s="12">
        <f t="shared" ref="H51" si="24">H49+H47</f>
        <v>474557.78999999957</v>
      </c>
      <c r="I51" s="12">
        <f t="shared" ref="I51" si="25">I49+I47</f>
        <v>487823.5899999995</v>
      </c>
      <c r="J51" s="12">
        <f t="shared" ref="J51" si="26">J49+J47</f>
        <v>520986.20999999944</v>
      </c>
      <c r="K51" s="12">
        <f t="shared" ref="K51" si="27">K49+K47</f>
        <v>539079.17999999935</v>
      </c>
      <c r="L51" s="12">
        <f t="shared" ref="L51" si="28">L49+L47</f>
        <v>556657.62999999919</v>
      </c>
      <c r="M51" s="12">
        <f t="shared" ref="M51" si="29">M49+M47</f>
        <v>573638.94999999914</v>
      </c>
      <c r="N51" s="11">
        <f>N49+N50</f>
        <v>1195769.1200000001</v>
      </c>
    </row>
    <row r="52" spans="1:14">
      <c r="A52" t="s">
        <v>50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4">
      <c r="A53" t="s">
        <v>51</v>
      </c>
      <c r="B53" s="12">
        <v>0</v>
      </c>
      <c r="C53" s="12">
        <v>1984.5</v>
      </c>
      <c r="D53" s="12">
        <v>0</v>
      </c>
      <c r="E53" s="12">
        <v>1984.5</v>
      </c>
      <c r="F53" s="12">
        <v>0</v>
      </c>
      <c r="G53" s="12">
        <v>1984.5</v>
      </c>
      <c r="H53" s="12">
        <v>0</v>
      </c>
      <c r="I53" s="12">
        <v>1984.5</v>
      </c>
      <c r="J53" s="12">
        <v>0</v>
      </c>
      <c r="K53" s="12">
        <v>1984.5</v>
      </c>
      <c r="L53" s="12">
        <v>0</v>
      </c>
      <c r="M53" s="12">
        <v>1984.5</v>
      </c>
      <c r="N53" s="11">
        <f>SUM(B53:M53)</f>
        <v>11907</v>
      </c>
    </row>
    <row r="54" spans="1:14">
      <c r="A54" t="s">
        <v>52</v>
      </c>
      <c r="B54" s="12">
        <v>275.63</v>
      </c>
      <c r="C54" s="12">
        <v>352.8</v>
      </c>
      <c r="D54" s="12">
        <v>264.60000000000002</v>
      </c>
      <c r="E54" s="12">
        <v>275.63</v>
      </c>
      <c r="F54" s="12">
        <v>352.8</v>
      </c>
      <c r="G54" s="12">
        <v>275.63</v>
      </c>
      <c r="H54" s="12">
        <v>264.60000000000002</v>
      </c>
      <c r="I54" s="12">
        <v>275.63</v>
      </c>
      <c r="J54" s="12">
        <v>275.63</v>
      </c>
      <c r="K54" s="12">
        <v>352.8</v>
      </c>
      <c r="L54" s="12">
        <v>275.63</v>
      </c>
      <c r="M54" s="12">
        <v>385.88</v>
      </c>
      <c r="N54" s="11">
        <f>SUM(B54:M54)</f>
        <v>3627.2600000000007</v>
      </c>
    </row>
    <row r="55" spans="1:14">
      <c r="A55" t="s">
        <v>53</v>
      </c>
      <c r="B55" s="12">
        <v>1102.5</v>
      </c>
      <c r="C55" s="12">
        <v>384.77</v>
      </c>
      <c r="D55" s="12">
        <v>384.77</v>
      </c>
      <c r="E55" s="12">
        <v>384.77</v>
      </c>
      <c r="F55" s="12">
        <v>384.77</v>
      </c>
      <c r="G55" s="12">
        <v>384.77</v>
      </c>
      <c r="H55" s="12">
        <v>384.77</v>
      </c>
      <c r="I55" s="12">
        <v>384.77</v>
      </c>
      <c r="J55" s="12">
        <v>384.77</v>
      </c>
      <c r="K55" s="12">
        <v>384.77</v>
      </c>
      <c r="L55" s="12">
        <v>384.77</v>
      </c>
      <c r="M55" s="12">
        <v>384.77</v>
      </c>
      <c r="N55" s="11">
        <f>SUM(B55:M55)</f>
        <v>5334.9700000000012</v>
      </c>
    </row>
    <row r="56" spans="1:14">
      <c r="A56" t="s">
        <v>54</v>
      </c>
      <c r="B56" s="12">
        <v>9922.5</v>
      </c>
      <c r="C56" s="12">
        <v>9922.5</v>
      </c>
      <c r="D56" s="12">
        <v>9922.5</v>
      </c>
      <c r="E56" s="12">
        <v>9922.5</v>
      </c>
      <c r="F56" s="12">
        <v>9922.5</v>
      </c>
      <c r="G56" s="12">
        <v>9922.5</v>
      </c>
      <c r="H56" s="12">
        <v>9922.5</v>
      </c>
      <c r="I56" s="12">
        <v>9922.5</v>
      </c>
      <c r="J56" s="12">
        <v>9922.5</v>
      </c>
      <c r="K56" s="12">
        <v>9922.5</v>
      </c>
      <c r="L56" s="12">
        <v>9922.5</v>
      </c>
      <c r="M56" s="12">
        <v>9922.5</v>
      </c>
      <c r="N56" s="11">
        <f>SUM(B56:M56)</f>
        <v>119070</v>
      </c>
    </row>
    <row r="57" spans="1:14">
      <c r="A57" t="s">
        <v>55</v>
      </c>
      <c r="B57" s="12">
        <v>1766.63</v>
      </c>
      <c r="C57" s="12">
        <v>0</v>
      </c>
      <c r="D57" s="12">
        <v>0</v>
      </c>
      <c r="E57" s="12">
        <v>0</v>
      </c>
      <c r="F57" s="12">
        <v>0</v>
      </c>
      <c r="G57" s="12">
        <v>716.63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716.63</v>
      </c>
      <c r="N57" s="11">
        <f t="shared" ref="N57:N58" si="30">SUM(B57:M57)</f>
        <v>3199.8900000000003</v>
      </c>
    </row>
    <row r="58" spans="1:14">
      <c r="A58" t="s">
        <v>56</v>
      </c>
      <c r="B58" s="12">
        <v>23152.5</v>
      </c>
      <c r="C58" s="12">
        <v>23152.5</v>
      </c>
      <c r="D58" s="12">
        <v>23152.5</v>
      </c>
      <c r="E58" s="12">
        <v>23152.5</v>
      </c>
      <c r="F58" s="12">
        <v>23152.5</v>
      </c>
      <c r="G58" s="12">
        <v>23152.5</v>
      </c>
      <c r="H58" s="12">
        <v>23152.5</v>
      </c>
      <c r="I58" s="12">
        <v>23152.5</v>
      </c>
      <c r="J58" s="12">
        <v>23152.5</v>
      </c>
      <c r="K58" s="12">
        <v>23152.5</v>
      </c>
      <c r="L58" s="12">
        <v>23152.5</v>
      </c>
      <c r="M58" s="12">
        <v>23152.5</v>
      </c>
      <c r="N58" s="11">
        <f t="shared" si="30"/>
        <v>277830</v>
      </c>
    </row>
    <row r="59" spans="1:14">
      <c r="A59" t="s">
        <v>63</v>
      </c>
      <c r="B59" s="12">
        <v>1653.75</v>
      </c>
      <c r="C59" s="12">
        <v>1653.75</v>
      </c>
      <c r="D59" s="12">
        <v>1653.75</v>
      </c>
      <c r="E59" s="12">
        <v>1653.75</v>
      </c>
      <c r="F59" s="12">
        <v>1653.75</v>
      </c>
      <c r="G59" s="12">
        <v>1653.75</v>
      </c>
      <c r="H59" s="12">
        <v>1653.75</v>
      </c>
      <c r="I59" s="12">
        <v>1653.75</v>
      </c>
      <c r="J59" s="12">
        <v>1653.75</v>
      </c>
      <c r="K59" s="12">
        <v>1653.75</v>
      </c>
      <c r="L59" s="12">
        <v>1653.75</v>
      </c>
      <c r="M59" s="12">
        <v>1653.75</v>
      </c>
      <c r="N59" s="11">
        <f>SUM(B59:M59)</f>
        <v>19845</v>
      </c>
    </row>
    <row r="60" spans="1:14">
      <c r="A60" t="s">
        <v>58</v>
      </c>
      <c r="B60" s="12">
        <v>6615</v>
      </c>
      <c r="C60" s="12">
        <v>3087</v>
      </c>
      <c r="D60" s="12">
        <v>6615</v>
      </c>
      <c r="E60" s="12">
        <v>3087</v>
      </c>
      <c r="F60" s="12">
        <v>6615</v>
      </c>
      <c r="G60" s="12">
        <v>3087</v>
      </c>
      <c r="H60" s="12">
        <v>6615</v>
      </c>
      <c r="I60" s="12">
        <v>3087</v>
      </c>
      <c r="J60" s="12">
        <v>6615</v>
      </c>
      <c r="K60" s="12">
        <v>3087</v>
      </c>
      <c r="L60" s="12">
        <v>6615</v>
      </c>
      <c r="M60" s="12">
        <v>3087</v>
      </c>
      <c r="N60" s="11">
        <f t="shared" ref="N60:N61" si="31">SUM(B60:M60)</f>
        <v>58212</v>
      </c>
    </row>
    <row r="61" spans="1:14">
      <c r="A61" t="s">
        <v>57</v>
      </c>
      <c r="B61" s="12">
        <v>599.76</v>
      </c>
      <c r="C61" s="12">
        <v>599.76</v>
      </c>
      <c r="D61" s="12">
        <v>599.76</v>
      </c>
      <c r="E61" s="12">
        <v>599.76</v>
      </c>
      <c r="F61" s="12">
        <v>599.76</v>
      </c>
      <c r="G61" s="12">
        <v>599.76</v>
      </c>
      <c r="H61" s="12">
        <v>599.76</v>
      </c>
      <c r="I61" s="12">
        <v>599.76</v>
      </c>
      <c r="J61" s="12">
        <v>599.76</v>
      </c>
      <c r="K61" s="12">
        <v>599.76</v>
      </c>
      <c r="L61" s="12">
        <v>599.76</v>
      </c>
      <c r="M61" s="12">
        <v>599.76</v>
      </c>
      <c r="N61" s="11">
        <f t="shared" si="31"/>
        <v>7197.1200000000017</v>
      </c>
    </row>
    <row r="62" spans="1:14">
      <c r="A62" t="s">
        <v>64</v>
      </c>
      <c r="B62" s="12">
        <v>4390.95</v>
      </c>
      <c r="C62" s="12">
        <v>4390.95</v>
      </c>
      <c r="D62" s="12">
        <v>4390.95</v>
      </c>
      <c r="E62" s="12">
        <v>4390.95</v>
      </c>
      <c r="F62" s="12">
        <v>4390.95</v>
      </c>
      <c r="G62" s="12">
        <v>4390.95</v>
      </c>
      <c r="H62" s="12">
        <v>4390.95</v>
      </c>
      <c r="I62" s="12">
        <v>4390.95</v>
      </c>
      <c r="J62" s="12">
        <v>4390.95</v>
      </c>
      <c r="K62" s="12">
        <v>4390.95</v>
      </c>
      <c r="L62" s="12">
        <v>4390.95</v>
      </c>
      <c r="M62" s="12">
        <v>4390.95</v>
      </c>
      <c r="N62" s="11">
        <f>SUM(B62:M62)</f>
        <v>52691.399999999987</v>
      </c>
    </row>
    <row r="63" spans="1:14">
      <c r="A63" t="s">
        <v>59</v>
      </c>
      <c r="B63" s="12">
        <v>25181.75</v>
      </c>
      <c r="C63" s="12">
        <v>30218.1</v>
      </c>
      <c r="D63" s="12">
        <v>35712.300000000003</v>
      </c>
      <c r="E63" s="12">
        <v>31591.65</v>
      </c>
      <c r="F63" s="12">
        <v>33880.9</v>
      </c>
      <c r="G63" s="12">
        <v>24266.05</v>
      </c>
      <c r="H63" s="12">
        <v>26555.3</v>
      </c>
      <c r="I63" s="12">
        <v>23350.35</v>
      </c>
      <c r="J63" s="12">
        <v>31591.65</v>
      </c>
      <c r="K63" s="12">
        <v>31591.65</v>
      </c>
      <c r="L63" s="12">
        <v>29760.25</v>
      </c>
      <c r="M63" s="12">
        <v>30218.1</v>
      </c>
      <c r="N63" s="11">
        <f t="shared" ref="N63:N67" si="32">SUM(B63:M63)</f>
        <v>353918.05</v>
      </c>
    </row>
    <row r="64" spans="1:14">
      <c r="A64" t="s">
        <v>66</v>
      </c>
      <c r="B64" s="12">
        <v>1853.67</v>
      </c>
      <c r="C64" s="12">
        <v>1872.21</v>
      </c>
      <c r="D64" s="12">
        <v>1890.93</v>
      </c>
      <c r="E64" s="12">
        <v>1909.84</v>
      </c>
      <c r="F64" s="12">
        <v>1928.94</v>
      </c>
      <c r="G64" s="12">
        <v>1948.23</v>
      </c>
      <c r="H64" s="12">
        <v>1967.71</v>
      </c>
      <c r="I64" s="12">
        <v>1987.39</v>
      </c>
      <c r="J64" s="12">
        <v>2007.26</v>
      </c>
      <c r="K64" s="12">
        <v>2027.33</v>
      </c>
      <c r="L64" s="12">
        <v>2047.61</v>
      </c>
      <c r="M64" s="12">
        <v>2068.08</v>
      </c>
      <c r="N64" s="11">
        <f t="shared" si="32"/>
        <v>23509.199999999997</v>
      </c>
    </row>
    <row r="65" spans="1:14">
      <c r="A65" t="s">
        <v>67</v>
      </c>
      <c r="B65" s="12">
        <v>500</v>
      </c>
      <c r="C65" s="12">
        <v>481.46</v>
      </c>
      <c r="D65" s="12">
        <v>462.74</v>
      </c>
      <c r="E65" s="12">
        <v>443.83</v>
      </c>
      <c r="F65" s="12">
        <v>424.73</v>
      </c>
      <c r="G65" s="12">
        <v>405.44</v>
      </c>
      <c r="H65" s="12">
        <v>385.96</v>
      </c>
      <c r="I65" s="12">
        <v>366.28</v>
      </c>
      <c r="J65" s="12">
        <v>346.41</v>
      </c>
      <c r="K65" s="12">
        <v>326.33999999999997</v>
      </c>
      <c r="L65" s="12">
        <v>306.06</v>
      </c>
      <c r="M65" s="12">
        <v>285.58999999999997</v>
      </c>
      <c r="N65" s="11">
        <f t="shared" si="32"/>
        <v>4734.8400000000011</v>
      </c>
    </row>
    <row r="66" spans="1:14">
      <c r="A66" t="s">
        <v>60</v>
      </c>
      <c r="B66" s="12">
        <f>B51-B53-B54-B55-B56-B57-B58-B59-B60-B61-B63-B62-B64-B65</f>
        <v>293109.80999999976</v>
      </c>
      <c r="C66" s="12">
        <f t="shared" ref="C66:M66" si="33">C51-C53-C54-C55-C56-C57-C58-C59-C60-C61-C63-C62-C64-C65</f>
        <v>311426.41999999969</v>
      </c>
      <c r="D66" s="12">
        <f t="shared" si="33"/>
        <v>336523.43999999971</v>
      </c>
      <c r="E66" s="12">
        <f t="shared" si="33"/>
        <v>354594.7599999996</v>
      </c>
      <c r="F66" s="12">
        <f t="shared" si="33"/>
        <v>377201.30999999959</v>
      </c>
      <c r="G66" s="12">
        <f t="shared" si="33"/>
        <v>384630.98999999958</v>
      </c>
      <c r="H66" s="12">
        <f t="shared" si="33"/>
        <v>398664.98999999953</v>
      </c>
      <c r="I66" s="12">
        <f t="shared" si="33"/>
        <v>416668.20999999944</v>
      </c>
      <c r="J66" s="12">
        <f t="shared" si="33"/>
        <v>440046.02999999939</v>
      </c>
      <c r="K66" s="12">
        <f t="shared" si="33"/>
        <v>459605.3299999992</v>
      </c>
      <c r="L66" s="12">
        <f t="shared" si="33"/>
        <v>477548.84999999916</v>
      </c>
      <c r="M66" s="12">
        <f t="shared" si="33"/>
        <v>494788.93999999907</v>
      </c>
      <c r="N66" s="11">
        <f>N51-N53-N54-N55-N56-N57-N58-N59-N60-N61-N62-N63-N64-N65</f>
        <v>254692.39000000022</v>
      </c>
    </row>
    <row r="67" spans="1:14">
      <c r="A67" t="s">
        <v>61</v>
      </c>
      <c r="B67" s="12">
        <v>27562.5</v>
      </c>
      <c r="C67" s="12">
        <v>27562.5</v>
      </c>
      <c r="D67" s="12">
        <v>27562.5</v>
      </c>
      <c r="E67" s="12">
        <v>27562.5</v>
      </c>
      <c r="F67" s="12">
        <v>27562.5</v>
      </c>
      <c r="G67" s="12">
        <v>27562.5</v>
      </c>
      <c r="H67" s="12">
        <v>27562.5</v>
      </c>
      <c r="I67" s="12">
        <v>27562.5</v>
      </c>
      <c r="J67" s="12">
        <v>27562.5</v>
      </c>
      <c r="K67" s="12">
        <v>27562.5</v>
      </c>
      <c r="L67" s="12">
        <v>27562.5</v>
      </c>
      <c r="M67" s="12">
        <v>27562.5</v>
      </c>
      <c r="N67" s="11">
        <f t="shared" si="32"/>
        <v>330750</v>
      </c>
    </row>
    <row r="68" spans="1:14">
      <c r="A68" t="s">
        <v>62</v>
      </c>
      <c r="B68" s="12">
        <f>B66-B67</f>
        <v>265547.30999999976</v>
      </c>
      <c r="C68" s="12">
        <f>C66-C67</f>
        <v>283863.91999999969</v>
      </c>
      <c r="D68" s="12">
        <f>D66-D67</f>
        <v>308960.93999999971</v>
      </c>
      <c r="E68" s="12">
        <f>E66-E67</f>
        <v>327032.2599999996</v>
      </c>
      <c r="F68" s="12">
        <f>F66-F67</f>
        <v>349638.80999999959</v>
      </c>
      <c r="G68" s="12">
        <f t="shared" ref="G68" si="34">G66-G67</f>
        <v>357068.48999999958</v>
      </c>
      <c r="H68" s="12">
        <f t="shared" ref="H68" si="35">H66-H67</f>
        <v>371102.48999999953</v>
      </c>
      <c r="I68" s="12">
        <f t="shared" ref="I68" si="36">I66-I67</f>
        <v>389105.70999999944</v>
      </c>
      <c r="J68" s="12">
        <f t="shared" ref="J68" si="37">J66-J67</f>
        <v>412483.52999999939</v>
      </c>
      <c r="K68" s="12">
        <f t="shared" ref="K68" si="38">K66-K67</f>
        <v>432042.8299999992</v>
      </c>
      <c r="L68" s="12">
        <f t="shared" ref="L68" si="39">L66-L67</f>
        <v>449986.34999999916</v>
      </c>
      <c r="M68" s="12">
        <f t="shared" ref="M68" si="40">M66-M67</f>
        <v>467226.43999999907</v>
      </c>
      <c r="N68" s="11">
        <f>SUM(B68:M68)</f>
        <v>4414059.0799999936</v>
      </c>
    </row>
    <row r="70" spans="1:14">
      <c r="A70">
        <v>2023</v>
      </c>
    </row>
    <row r="72" spans="1:14">
      <c r="B72" t="s">
        <v>34</v>
      </c>
      <c r="C72" t="s">
        <v>35</v>
      </c>
      <c r="D72" t="s">
        <v>36</v>
      </c>
      <c r="E72" t="s">
        <v>37</v>
      </c>
      <c r="F72" t="s">
        <v>38</v>
      </c>
      <c r="G72" t="s">
        <v>39</v>
      </c>
      <c r="H72" t="s">
        <v>40</v>
      </c>
      <c r="I72" t="s">
        <v>41</v>
      </c>
      <c r="J72" t="s">
        <v>42</v>
      </c>
      <c r="K72" t="s">
        <v>43</v>
      </c>
      <c r="L72" t="s">
        <v>44</v>
      </c>
      <c r="M72" t="s">
        <v>45</v>
      </c>
      <c r="N72" t="s">
        <v>19</v>
      </c>
    </row>
    <row r="73" spans="1:14">
      <c r="A73" t="s">
        <v>46</v>
      </c>
      <c r="B73" s="12">
        <f>M68+M67</f>
        <v>494788.93999999907</v>
      </c>
      <c r="C73" s="12">
        <f>B93+B94</f>
        <v>500400.68999999907</v>
      </c>
      <c r="D73" s="12">
        <f>C94+C93</f>
        <v>525253.22999999917</v>
      </c>
      <c r="E73" s="12">
        <f>D93+D94</f>
        <v>554544.0199999992</v>
      </c>
      <c r="F73" s="12">
        <f>E94+E93</f>
        <v>582111.98999999918</v>
      </c>
      <c r="G73" s="12">
        <f>F93+F94</f>
        <v>614122.75999999931</v>
      </c>
      <c r="H73" s="12">
        <f>G93+G94</f>
        <v>622464.6199999993</v>
      </c>
      <c r="I73" s="12">
        <f t="shared" ref="I73:M73" si="41">H93+H94</f>
        <v>639112.91999999934</v>
      </c>
      <c r="J73" s="12">
        <f t="shared" si="41"/>
        <v>656217.54999999946</v>
      </c>
      <c r="K73" s="12">
        <f t="shared" si="41"/>
        <v>687270.98999999953</v>
      </c>
      <c r="L73" s="12">
        <f t="shared" si="41"/>
        <v>713387.95999999973</v>
      </c>
      <c r="M73" s="12">
        <f t="shared" si="41"/>
        <v>735065.60999999964</v>
      </c>
      <c r="N73" s="11">
        <f>SUM(B73:M73)</f>
        <v>7324741.2799999919</v>
      </c>
    </row>
    <row r="74" spans="1:14">
      <c r="A74" t="s">
        <v>47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4">
      <c r="A75" t="s">
        <v>48</v>
      </c>
      <c r="B75" s="12">
        <f>VENTAS!D69</f>
        <v>91205.17</v>
      </c>
      <c r="C75" s="12">
        <f>VENTAS!E69</f>
        <v>111806.39999999999</v>
      </c>
      <c r="D75" s="12">
        <f>VENTAS!F69</f>
        <v>123734.00999999998</v>
      </c>
      <c r="E75" s="12">
        <f>VENTAS!G69</f>
        <v>118007.35</v>
      </c>
      <c r="F75" s="12">
        <f>VENTAS!H69</f>
        <v>124142.84999999999</v>
      </c>
      <c r="G75" s="12">
        <f>VENTAS!I69</f>
        <v>90390.450000000012</v>
      </c>
      <c r="H75" s="12">
        <f>VENTAS!J69</f>
        <v>104841.76999999999</v>
      </c>
      <c r="I75" s="12">
        <f>VENTAS!K69</f>
        <v>105131.26000000001</v>
      </c>
      <c r="J75" s="12">
        <f>VENTAS!L69</f>
        <v>124065.98999999999</v>
      </c>
      <c r="K75" s="12">
        <f>VENTAS!M69</f>
        <v>116147.63</v>
      </c>
      <c r="L75" s="12">
        <f>VENTAS!N69</f>
        <v>111517.25</v>
      </c>
      <c r="M75" s="12">
        <f>VENTAS!O69</f>
        <v>118501.04000000001</v>
      </c>
      <c r="N75" s="11">
        <f>SUM(B75:M75)</f>
        <v>1339491.17</v>
      </c>
    </row>
    <row r="76" spans="1:14">
      <c r="A76" t="s">
        <v>65</v>
      </c>
      <c r="B76" s="12">
        <v>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1"/>
    </row>
    <row r="77" spans="1:14">
      <c r="A77" t="s">
        <v>49</v>
      </c>
      <c r="B77" s="12">
        <f>B75+B73+B76</f>
        <v>585994.10999999905</v>
      </c>
      <c r="C77" s="12">
        <f>C75+C73</f>
        <v>612207.08999999904</v>
      </c>
      <c r="D77" s="12">
        <f>D75+D73</f>
        <v>648987.23999999918</v>
      </c>
      <c r="E77" s="12">
        <f>E75+E73</f>
        <v>672551.36999999918</v>
      </c>
      <c r="F77" s="12">
        <f>F75+F73</f>
        <v>706254.83999999915</v>
      </c>
      <c r="G77" s="12">
        <f>G75+G73</f>
        <v>704513.20999999926</v>
      </c>
      <c r="H77" s="12">
        <f t="shared" ref="H77" si="42">H75+H73</f>
        <v>727306.38999999932</v>
      </c>
      <c r="I77" s="12">
        <f t="shared" ref="I77" si="43">I75+I73</f>
        <v>744244.17999999935</v>
      </c>
      <c r="J77" s="12">
        <f t="shared" ref="J77" si="44">J75+J73</f>
        <v>780283.53999999946</v>
      </c>
      <c r="K77" s="12">
        <f t="shared" ref="K77" si="45">K75+K73</f>
        <v>803418.61999999953</v>
      </c>
      <c r="L77" s="12">
        <f t="shared" ref="L77" si="46">L75+L73</f>
        <v>824905.20999999973</v>
      </c>
      <c r="M77" s="12">
        <f t="shared" ref="M77" si="47">M75+M73</f>
        <v>853566.64999999967</v>
      </c>
      <c r="N77" s="11">
        <f>N75+N76</f>
        <v>1339491.17</v>
      </c>
    </row>
    <row r="78" spans="1:14">
      <c r="A78" t="s">
        <v>50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1:14">
      <c r="A79" t="s">
        <v>51</v>
      </c>
      <c r="B79" s="12">
        <v>0</v>
      </c>
      <c r="C79" s="12">
        <v>2083.73</v>
      </c>
      <c r="D79" s="12">
        <v>0</v>
      </c>
      <c r="E79" s="12">
        <v>2083.73</v>
      </c>
      <c r="F79" s="12">
        <v>0</v>
      </c>
      <c r="G79" s="12">
        <v>2083.73</v>
      </c>
      <c r="H79" s="12">
        <v>0</v>
      </c>
      <c r="I79" s="12">
        <v>2083.73</v>
      </c>
      <c r="J79" s="12">
        <v>0</v>
      </c>
      <c r="K79" s="12">
        <v>2083.73</v>
      </c>
      <c r="L79" s="12">
        <v>0</v>
      </c>
      <c r="M79" s="12">
        <v>2083.73</v>
      </c>
      <c r="N79" s="11">
        <f>SUM(B79:M79)</f>
        <v>12502.38</v>
      </c>
    </row>
    <row r="80" spans="1:14">
      <c r="A80" t="s">
        <v>52</v>
      </c>
      <c r="B80" s="12">
        <v>289.41000000000003</v>
      </c>
      <c r="C80" s="12">
        <v>370.44</v>
      </c>
      <c r="D80" s="12">
        <v>277.83</v>
      </c>
      <c r="E80" s="12">
        <v>289.41000000000003</v>
      </c>
      <c r="F80" s="12">
        <v>370.44</v>
      </c>
      <c r="G80" s="12">
        <v>289.41000000000003</v>
      </c>
      <c r="H80" s="12">
        <v>277.83</v>
      </c>
      <c r="I80" s="12">
        <v>289.41000000000003</v>
      </c>
      <c r="J80" s="12">
        <v>289.41000000000003</v>
      </c>
      <c r="K80" s="12">
        <v>370.44</v>
      </c>
      <c r="L80" s="12">
        <v>289.41000000000003</v>
      </c>
      <c r="M80" s="12">
        <v>405.17</v>
      </c>
      <c r="N80" s="11">
        <f>SUM(B80:M80)</f>
        <v>3808.61</v>
      </c>
    </row>
    <row r="81" spans="1:14">
      <c r="A81" t="s">
        <v>53</v>
      </c>
      <c r="B81" s="12">
        <v>1157.6300000000001</v>
      </c>
      <c r="C81" s="12">
        <v>404.01</v>
      </c>
      <c r="D81" s="12">
        <v>404.01</v>
      </c>
      <c r="E81" s="12">
        <v>404.01</v>
      </c>
      <c r="F81" s="12">
        <v>404.01</v>
      </c>
      <c r="G81" s="12">
        <v>404.01</v>
      </c>
      <c r="H81" s="12">
        <v>404.01</v>
      </c>
      <c r="I81" s="12">
        <v>404.01</v>
      </c>
      <c r="J81" s="12">
        <v>404.01</v>
      </c>
      <c r="K81" s="12">
        <v>404.01</v>
      </c>
      <c r="L81" s="12">
        <v>404.01</v>
      </c>
      <c r="M81" s="12">
        <v>404.01</v>
      </c>
      <c r="N81" s="11">
        <f>SUM(B81:M81)</f>
        <v>5601.7400000000016</v>
      </c>
    </row>
    <row r="82" spans="1:14">
      <c r="A82" t="s">
        <v>54</v>
      </c>
      <c r="B82" s="12">
        <v>10418.629999999999</v>
      </c>
      <c r="C82" s="12">
        <v>10418.629999999999</v>
      </c>
      <c r="D82" s="12">
        <v>10418.629999999999</v>
      </c>
      <c r="E82" s="12">
        <v>10418.629999999999</v>
      </c>
      <c r="F82" s="12">
        <v>10418.629999999999</v>
      </c>
      <c r="G82" s="12">
        <v>10418.629999999999</v>
      </c>
      <c r="H82" s="12">
        <v>10418.629999999999</v>
      </c>
      <c r="I82" s="12">
        <v>10418.629999999999</v>
      </c>
      <c r="J82" s="12">
        <v>10418.629999999999</v>
      </c>
      <c r="K82" s="12">
        <v>10418.629999999999</v>
      </c>
      <c r="L82" s="12">
        <v>10418.629999999999</v>
      </c>
      <c r="M82" s="12">
        <v>10418.629999999999</v>
      </c>
      <c r="N82" s="11">
        <f>SUM(B82:M82)</f>
        <v>125023.56000000001</v>
      </c>
    </row>
    <row r="83" spans="1:14">
      <c r="A83" t="s">
        <v>55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752.46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752.46</v>
      </c>
      <c r="N83" s="11">
        <f t="shared" ref="N83:N84" si="48">SUM(B83:M83)</f>
        <v>1504.92</v>
      </c>
    </row>
    <row r="84" spans="1:14">
      <c r="A84" t="s">
        <v>56</v>
      </c>
      <c r="B84" s="12">
        <v>24310.13</v>
      </c>
      <c r="C84" s="12">
        <v>24310.13</v>
      </c>
      <c r="D84" s="12">
        <v>24310.13</v>
      </c>
      <c r="E84" s="12">
        <v>24310.13</v>
      </c>
      <c r="F84" s="12">
        <v>24310.13</v>
      </c>
      <c r="G84" s="12">
        <v>24310.13</v>
      </c>
      <c r="H84" s="12">
        <v>24310.13</v>
      </c>
      <c r="I84" s="12">
        <v>24310.13</v>
      </c>
      <c r="J84" s="12">
        <v>24310.13</v>
      </c>
      <c r="K84" s="12">
        <v>24310.13</v>
      </c>
      <c r="L84" s="12">
        <v>24310.13</v>
      </c>
      <c r="M84" s="12">
        <v>24310.13</v>
      </c>
      <c r="N84" s="11">
        <f t="shared" si="48"/>
        <v>291721.56</v>
      </c>
    </row>
    <row r="85" spans="1:14">
      <c r="A85" t="s">
        <v>63</v>
      </c>
      <c r="B85" s="12">
        <v>1736.44</v>
      </c>
      <c r="C85" s="12">
        <v>1736.44</v>
      </c>
      <c r="D85" s="12">
        <v>1736.44</v>
      </c>
      <c r="E85" s="12">
        <v>1736.44</v>
      </c>
      <c r="F85" s="12">
        <v>1736.44</v>
      </c>
      <c r="G85" s="12">
        <v>1736.44</v>
      </c>
      <c r="H85" s="12">
        <v>1736.44</v>
      </c>
      <c r="I85" s="12">
        <v>1736.44</v>
      </c>
      <c r="J85" s="12">
        <v>1736.44</v>
      </c>
      <c r="K85" s="12">
        <v>1736.44</v>
      </c>
      <c r="L85" s="12">
        <v>1736.44</v>
      </c>
      <c r="M85" s="12">
        <v>1736.44</v>
      </c>
      <c r="N85" s="11">
        <f>SUM(B85:M85)</f>
        <v>20837.28</v>
      </c>
    </row>
    <row r="86" spans="1:14">
      <c r="A86" t="s">
        <v>58</v>
      </c>
      <c r="B86" s="12">
        <v>6945.75</v>
      </c>
      <c r="C86" s="12">
        <v>3241.35</v>
      </c>
      <c r="D86" s="12">
        <v>6945.75</v>
      </c>
      <c r="E86" s="12">
        <v>3241.35</v>
      </c>
      <c r="F86" s="12">
        <v>6945.75</v>
      </c>
      <c r="G86" s="12">
        <v>3241.35</v>
      </c>
      <c r="H86" s="12">
        <v>6945.75</v>
      </c>
      <c r="I86" s="12">
        <v>3241.35</v>
      </c>
      <c r="J86" s="12">
        <v>6945.75</v>
      </c>
      <c r="K86" s="12">
        <v>3241.35</v>
      </c>
      <c r="L86" s="12">
        <v>6945.75</v>
      </c>
      <c r="M86" s="12">
        <v>3241.35</v>
      </c>
      <c r="N86" s="11">
        <f t="shared" ref="N86:N87" si="49">SUM(B86:M86)</f>
        <v>61122.599999999991</v>
      </c>
    </row>
    <row r="87" spans="1:14">
      <c r="A87" t="s">
        <v>57</v>
      </c>
      <c r="B87" s="12">
        <v>629.75</v>
      </c>
      <c r="C87" s="12">
        <v>629.75</v>
      </c>
      <c r="D87" s="12">
        <v>629.75</v>
      </c>
      <c r="E87" s="12">
        <v>629.75</v>
      </c>
      <c r="F87" s="12">
        <v>629.75</v>
      </c>
      <c r="G87" s="12">
        <v>629.75</v>
      </c>
      <c r="H87" s="12">
        <v>629.75</v>
      </c>
      <c r="I87" s="12">
        <v>629.75</v>
      </c>
      <c r="J87" s="12">
        <v>629.75</v>
      </c>
      <c r="K87" s="12">
        <v>629.75</v>
      </c>
      <c r="L87" s="12">
        <v>629.75</v>
      </c>
      <c r="M87" s="12">
        <v>629.75</v>
      </c>
      <c r="N87" s="11">
        <f t="shared" si="49"/>
        <v>7557</v>
      </c>
    </row>
    <row r="88" spans="1:14">
      <c r="A88" t="s">
        <v>64</v>
      </c>
      <c r="B88" s="12">
        <v>8907.01</v>
      </c>
      <c r="C88" s="12">
        <v>8907.01</v>
      </c>
      <c r="D88" s="12">
        <v>8907.01</v>
      </c>
      <c r="E88" s="12">
        <v>8907.01</v>
      </c>
      <c r="F88" s="12">
        <v>8907.01</v>
      </c>
      <c r="G88" s="12">
        <v>8907.01</v>
      </c>
      <c r="H88" s="12">
        <v>8907.01</v>
      </c>
      <c r="I88" s="12">
        <v>8907.01</v>
      </c>
      <c r="J88" s="12">
        <v>8907.01</v>
      </c>
      <c r="K88" s="12">
        <v>8907.01</v>
      </c>
      <c r="L88" s="12">
        <v>8907.01</v>
      </c>
      <c r="M88" s="12">
        <v>8907.01</v>
      </c>
      <c r="N88" s="11">
        <f>SUM(B88:M88)</f>
        <v>106884.11999999998</v>
      </c>
    </row>
    <row r="89" spans="1:14">
      <c r="A89" t="s">
        <v>59</v>
      </c>
      <c r="B89" s="12">
        <v>28845</v>
      </c>
      <c r="C89" s="12">
        <v>32498.7</v>
      </c>
      <c r="D89" s="12">
        <v>38460</v>
      </c>
      <c r="E89" s="12">
        <v>36056.25</v>
      </c>
      <c r="F89" s="12">
        <v>36056.25</v>
      </c>
      <c r="G89" s="12">
        <v>26922</v>
      </c>
      <c r="H89" s="12">
        <v>32210.25</v>
      </c>
      <c r="I89" s="12">
        <v>33652.5</v>
      </c>
      <c r="J89" s="12">
        <v>37017.75</v>
      </c>
      <c r="K89" s="12">
        <v>35575.5</v>
      </c>
      <c r="L89" s="12">
        <v>33844.800000000003</v>
      </c>
      <c r="M89" s="12">
        <v>33652.5</v>
      </c>
      <c r="N89" s="11">
        <f t="shared" ref="N89:N91" si="50">SUM(B89:M89)</f>
        <v>404791.5</v>
      </c>
    </row>
    <row r="90" spans="1:14">
      <c r="A90" t="s">
        <v>66</v>
      </c>
      <c r="B90" s="12">
        <v>2088.7600000000002</v>
      </c>
      <c r="C90" s="12">
        <v>2109.65</v>
      </c>
      <c r="D90" s="12">
        <v>2130.75</v>
      </c>
      <c r="E90" s="12">
        <v>2152.0500000000002</v>
      </c>
      <c r="F90" s="12">
        <v>2173.5700000000002</v>
      </c>
      <c r="G90" s="12">
        <v>2195.31</v>
      </c>
      <c r="H90" s="12">
        <v>2217.2600000000002</v>
      </c>
      <c r="I90" s="12">
        <v>2239.44</v>
      </c>
      <c r="J90" s="12">
        <v>2261.83</v>
      </c>
      <c r="K90" s="12">
        <v>2284.4499999999998</v>
      </c>
      <c r="L90" s="12">
        <v>2307.29</v>
      </c>
      <c r="M90" s="12">
        <v>2330.44</v>
      </c>
      <c r="N90" s="11">
        <f t="shared" si="50"/>
        <v>26490.799999999996</v>
      </c>
    </row>
    <row r="91" spans="1:14">
      <c r="A91" t="s">
        <v>67</v>
      </c>
      <c r="B91" s="12">
        <v>264.91000000000003</v>
      </c>
      <c r="C91" s="12">
        <v>244.02</v>
      </c>
      <c r="D91" s="12">
        <v>222.92</v>
      </c>
      <c r="E91" s="12">
        <v>210.62</v>
      </c>
      <c r="F91" s="12">
        <v>180.1</v>
      </c>
      <c r="G91" s="12">
        <v>158.36000000000001</v>
      </c>
      <c r="H91" s="12">
        <v>136.41</v>
      </c>
      <c r="I91" s="12">
        <v>114.23</v>
      </c>
      <c r="J91" s="12">
        <v>91.84</v>
      </c>
      <c r="K91" s="12">
        <v>69.22</v>
      </c>
      <c r="L91" s="12">
        <v>46.38</v>
      </c>
      <c r="M91" s="12">
        <v>23.3</v>
      </c>
      <c r="N91" s="11">
        <f t="shared" si="50"/>
        <v>1762.31</v>
      </c>
    </row>
    <row r="92" spans="1:14">
      <c r="A92" t="s">
        <v>60</v>
      </c>
      <c r="B92" s="12">
        <f>B77-B79-B80-B81-B82-B83-B84-B85-B86-B87-B89-B88-B90-B91</f>
        <v>500400.68999999907</v>
      </c>
      <c r="C92" s="12">
        <f t="shared" ref="C92" si="51">C77-C79-C80-C81-C82-C83-C84-C85-C86-C87-C89-C88-C90-C91</f>
        <v>525253.22999999917</v>
      </c>
      <c r="D92" s="12">
        <f t="shared" ref="D92" si="52">D77-D79-D80-D81-D82-D83-D84-D85-D86-D87-D89-D88-D90-D91</f>
        <v>554544.0199999992</v>
      </c>
      <c r="E92" s="12">
        <f t="shared" ref="E92" si="53">E77-E79-E80-E81-E82-E83-E84-E85-E86-E87-E89-E88-E90-E91</f>
        <v>582111.98999999918</v>
      </c>
      <c r="F92" s="12">
        <f t="shared" ref="F92" si="54">F77-F79-F80-F81-F82-F83-F84-F85-F86-F87-F89-F88-F90-F91</f>
        <v>614122.75999999931</v>
      </c>
      <c r="G92" s="12">
        <f t="shared" ref="G92" si="55">G77-G79-G80-G81-G82-G83-G84-G85-G86-G87-G89-G88-G90-G91</f>
        <v>622464.6199999993</v>
      </c>
      <c r="H92" s="12">
        <f t="shared" ref="H92" si="56">H77-H79-H80-H81-H82-H83-H84-H85-H86-H87-H89-H88-H90-H91</f>
        <v>639112.91999999934</v>
      </c>
      <c r="I92" s="12">
        <f t="shared" ref="I92" si="57">I77-I79-I80-I81-I82-I83-I84-I85-I86-I87-I89-I88-I90-I91</f>
        <v>656217.54999999946</v>
      </c>
      <c r="J92" s="12">
        <f t="shared" ref="J92" si="58">J77-J79-J80-J81-J82-J83-J84-J85-J86-J87-J89-J88-J90-J91</f>
        <v>687270.98999999953</v>
      </c>
      <c r="K92" s="12">
        <f t="shared" ref="K92" si="59">K77-K79-K80-K81-K82-K83-K84-K85-K86-K87-K89-K88-K90-K91</f>
        <v>713387.95999999973</v>
      </c>
      <c r="L92" s="12">
        <f t="shared" ref="L92" si="60">L77-L79-L80-L81-L82-L83-L84-L85-L86-L87-L89-L88-L90-L91</f>
        <v>735065.60999999964</v>
      </c>
      <c r="M92" s="12">
        <f t="shared" ref="M92" si="61">M77-M79-M80-M81-M82-M83-M84-M85-M86-M87-M89-M88-M90-M91</f>
        <v>764671.72999999975</v>
      </c>
      <c r="N92" s="11">
        <f>SUM(B92:M92)</f>
        <v>7594624.0699999928</v>
      </c>
    </row>
    <row r="93" spans="1:14">
      <c r="A93" t="s">
        <v>61</v>
      </c>
      <c r="B93" s="12">
        <v>28940.63</v>
      </c>
      <c r="C93" s="12">
        <v>28940.63</v>
      </c>
      <c r="D93" s="12">
        <v>28940.63</v>
      </c>
      <c r="E93" s="12">
        <v>28940.63</v>
      </c>
      <c r="F93" s="12">
        <v>28940.63</v>
      </c>
      <c r="G93" s="12">
        <v>28940.63</v>
      </c>
      <c r="H93" s="12">
        <v>28940.63</v>
      </c>
      <c r="I93" s="12">
        <v>28940.63</v>
      </c>
      <c r="J93" s="12">
        <v>28940.63</v>
      </c>
      <c r="K93" s="12">
        <v>28940.63</v>
      </c>
      <c r="L93" s="12">
        <v>28940.63</v>
      </c>
      <c r="M93" s="12">
        <v>28940.63</v>
      </c>
      <c r="N93" s="11">
        <f t="shared" ref="N93" si="62">SUM(B93:M93)</f>
        <v>347287.56</v>
      </c>
    </row>
    <row r="94" spans="1:14">
      <c r="A94" t="s">
        <v>62</v>
      </c>
      <c r="B94" s="12">
        <f>B92-B93</f>
        <v>471460.05999999907</v>
      </c>
      <c r="C94" s="12">
        <f>C92-C93</f>
        <v>496312.59999999916</v>
      </c>
      <c r="D94" s="12">
        <f>D92-D93</f>
        <v>525603.3899999992</v>
      </c>
      <c r="E94" s="12">
        <f>E92-E93</f>
        <v>553171.35999999917</v>
      </c>
      <c r="F94" s="12">
        <f>F92-F93</f>
        <v>585182.12999999931</v>
      </c>
      <c r="G94" s="12">
        <f t="shared" ref="G94" si="63">G92-G93</f>
        <v>593523.98999999929</v>
      </c>
      <c r="H94" s="12">
        <f t="shared" ref="H94" si="64">H92-H93</f>
        <v>610172.28999999934</v>
      </c>
      <c r="I94" s="12">
        <f t="shared" ref="I94" si="65">I92-I93</f>
        <v>627276.91999999946</v>
      </c>
      <c r="J94" s="12">
        <f t="shared" ref="J94" si="66">J92-J93</f>
        <v>658330.35999999952</v>
      </c>
      <c r="K94" s="12">
        <f t="shared" ref="K94" si="67">K92-K93</f>
        <v>684447.32999999973</v>
      </c>
      <c r="L94" s="12">
        <f t="shared" ref="L94" si="68">L92-L93</f>
        <v>706124.97999999963</v>
      </c>
      <c r="M94" s="12">
        <f t="shared" ref="M94" si="69">M92-M93</f>
        <v>735731.09999999974</v>
      </c>
      <c r="N94" s="11">
        <f>SUM(B94:M94)</f>
        <v>7247336.5099999933</v>
      </c>
    </row>
    <row r="96" spans="1:14">
      <c r="A96">
        <v>2024</v>
      </c>
    </row>
    <row r="98" spans="1:14">
      <c r="B98" t="s">
        <v>34</v>
      </c>
      <c r="C98" t="s">
        <v>35</v>
      </c>
      <c r="D98" t="s">
        <v>36</v>
      </c>
      <c r="E98" t="s">
        <v>37</v>
      </c>
      <c r="F98" t="s">
        <v>38</v>
      </c>
      <c r="G98" t="s">
        <v>39</v>
      </c>
      <c r="H98" t="s">
        <v>40</v>
      </c>
      <c r="I98" t="s">
        <v>41</v>
      </c>
      <c r="J98" t="s">
        <v>42</v>
      </c>
      <c r="K98" t="s">
        <v>43</v>
      </c>
      <c r="L98" t="s">
        <v>44</v>
      </c>
      <c r="M98" t="s">
        <v>45</v>
      </c>
      <c r="N98" t="s">
        <v>19</v>
      </c>
    </row>
    <row r="99" spans="1:14">
      <c r="A99" t="s">
        <v>46</v>
      </c>
      <c r="B99" s="12">
        <f>M94+M93</f>
        <v>764671.72999999975</v>
      </c>
      <c r="C99" s="12">
        <f>B119+B120</f>
        <v>787227.72999999963</v>
      </c>
      <c r="D99" s="12">
        <f>C120+C119</f>
        <v>831569.17999999959</v>
      </c>
      <c r="E99" s="12">
        <f>D119+D120</f>
        <v>880558.6999999996</v>
      </c>
      <c r="F99" s="12">
        <f>E120+E119</f>
        <v>918161.05999999959</v>
      </c>
      <c r="G99" s="12">
        <f>F119+F120</f>
        <v>961660.01999999967</v>
      </c>
      <c r="H99" s="12">
        <f>G119+G120</f>
        <v>976925.93999999971</v>
      </c>
      <c r="I99" s="12">
        <f t="shared" ref="I99:M99" si="70">H119+H120</f>
        <v>1010115.4599999997</v>
      </c>
      <c r="J99" s="12">
        <f t="shared" si="70"/>
        <v>1045168.8500000001</v>
      </c>
      <c r="K99" s="12">
        <f t="shared" si="70"/>
        <v>1128580.5700000003</v>
      </c>
      <c r="L99" s="12">
        <f t="shared" si="70"/>
        <v>1175004.6800000006</v>
      </c>
      <c r="M99" s="12">
        <f t="shared" si="70"/>
        <v>1211817.3000000007</v>
      </c>
      <c r="N99" s="11">
        <f>SUM(B99:M99)</f>
        <v>11691461.219999999</v>
      </c>
    </row>
    <row r="100" spans="1:14">
      <c r="A100" t="s">
        <v>47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1:14">
      <c r="A101" t="s">
        <v>48</v>
      </c>
      <c r="B101" s="12">
        <f>VENTAS!D88</f>
        <v>114764.96</v>
      </c>
      <c r="C101" s="12">
        <f>VENTAS!E88</f>
        <v>138180.88</v>
      </c>
      <c r="D101" s="12">
        <f>VENTAS!F88</f>
        <v>154529.41999999998</v>
      </c>
      <c r="E101" s="12">
        <f>VENTAS!G88</f>
        <v>138423.90999999997</v>
      </c>
      <c r="F101" s="12">
        <f>VENTAS!H88</f>
        <v>144088.06999999998</v>
      </c>
      <c r="G101" s="12">
        <f>VENTAS!I88</f>
        <v>104762.34999999999</v>
      </c>
      <c r="H101" s="12">
        <f>VENTAS!J88</f>
        <v>130652.62</v>
      </c>
      <c r="I101" s="12">
        <f>VENTAS!K88</f>
        <v>130826.94</v>
      </c>
      <c r="J101" s="12">
        <f>VENTAS!L88</f>
        <v>150598.97999999998</v>
      </c>
      <c r="K101" s="12">
        <f>VENTAS!M88</f>
        <v>145311.53999999998</v>
      </c>
      <c r="L101" s="12">
        <f>VENTAS!N88</f>
        <v>138326.28</v>
      </c>
      <c r="M101" s="12">
        <f>VENTAS!O88</f>
        <v>137771.44999999998</v>
      </c>
      <c r="N101" s="11">
        <f>SUM(B101:M101)</f>
        <v>1628237.4</v>
      </c>
    </row>
    <row r="102" spans="1:14">
      <c r="A102" t="s">
        <v>65</v>
      </c>
      <c r="B102" s="12">
        <v>0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1"/>
    </row>
    <row r="103" spans="1:14">
      <c r="A103" t="s">
        <v>49</v>
      </c>
      <c r="B103" s="12">
        <f>B101+B99+B102</f>
        <v>879436.68999999971</v>
      </c>
      <c r="C103" s="12">
        <f t="shared" ref="C103:M103" si="71">C101+C99</f>
        <v>925408.60999999964</v>
      </c>
      <c r="D103" s="12">
        <f t="shared" si="71"/>
        <v>986098.59999999963</v>
      </c>
      <c r="E103" s="12">
        <f t="shared" si="71"/>
        <v>1018982.6099999996</v>
      </c>
      <c r="F103" s="12">
        <f t="shared" si="71"/>
        <v>1062249.1299999997</v>
      </c>
      <c r="G103" s="12">
        <f t="shared" si="71"/>
        <v>1066422.3699999996</v>
      </c>
      <c r="H103" s="12">
        <f t="shared" si="71"/>
        <v>1107578.5599999996</v>
      </c>
      <c r="I103" s="12">
        <f t="shared" si="71"/>
        <v>1140942.3999999997</v>
      </c>
      <c r="J103" s="12">
        <f t="shared" si="71"/>
        <v>1195767.83</v>
      </c>
      <c r="K103" s="12">
        <f t="shared" si="71"/>
        <v>1273892.1100000003</v>
      </c>
      <c r="L103" s="12">
        <f t="shared" si="71"/>
        <v>1313330.9600000007</v>
      </c>
      <c r="M103" s="12">
        <f t="shared" si="71"/>
        <v>1349588.7500000007</v>
      </c>
      <c r="N103" s="11">
        <f>N101+N102</f>
        <v>1628237.4</v>
      </c>
    </row>
    <row r="104" spans="1:14">
      <c r="A104" t="s">
        <v>50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4">
      <c r="A105" t="s">
        <v>51</v>
      </c>
      <c r="B105" s="12">
        <v>0</v>
      </c>
      <c r="C105" s="12">
        <v>2187.91</v>
      </c>
      <c r="D105" s="12">
        <v>0</v>
      </c>
      <c r="E105" s="12">
        <v>2187.91</v>
      </c>
      <c r="F105" s="12">
        <v>0</v>
      </c>
      <c r="G105" s="12">
        <v>2187.91</v>
      </c>
      <c r="H105" s="12">
        <v>0</v>
      </c>
      <c r="I105" s="12">
        <v>2187.91</v>
      </c>
      <c r="J105" s="12">
        <v>0</v>
      </c>
      <c r="K105" s="12">
        <v>2187.91</v>
      </c>
      <c r="L105" s="12">
        <v>0</v>
      </c>
      <c r="M105" s="12">
        <v>2187.91</v>
      </c>
      <c r="N105" s="11">
        <f>SUM(B105:M105)</f>
        <v>13127.46</v>
      </c>
    </row>
    <row r="106" spans="1:14">
      <c r="A106" t="s">
        <v>52</v>
      </c>
      <c r="B106" s="12">
        <v>303.88</v>
      </c>
      <c r="C106" s="12">
        <v>388.96</v>
      </c>
      <c r="D106" s="12">
        <v>291.72000000000003</v>
      </c>
      <c r="E106" s="12">
        <v>303.88</v>
      </c>
      <c r="F106" s="12">
        <v>388.96</v>
      </c>
      <c r="G106" s="12">
        <v>303.88</v>
      </c>
      <c r="H106" s="12">
        <v>291.72000000000003</v>
      </c>
      <c r="I106" s="12">
        <v>303.88</v>
      </c>
      <c r="J106" s="12">
        <v>303.88</v>
      </c>
      <c r="K106" s="12">
        <v>388.96</v>
      </c>
      <c r="L106" s="12">
        <v>303.88</v>
      </c>
      <c r="M106" s="12">
        <v>425.43</v>
      </c>
      <c r="N106" s="11">
        <f>SUM(B106:M106)</f>
        <v>3999.03</v>
      </c>
    </row>
    <row r="107" spans="1:14">
      <c r="A107" t="s">
        <v>53</v>
      </c>
      <c r="B107" s="12">
        <v>1215.51</v>
      </c>
      <c r="C107" s="12">
        <v>424.21</v>
      </c>
      <c r="D107" s="12">
        <v>424.21</v>
      </c>
      <c r="E107" s="12">
        <v>424.21</v>
      </c>
      <c r="F107" s="12">
        <v>424.21</v>
      </c>
      <c r="G107" s="12">
        <v>424.21</v>
      </c>
      <c r="H107" s="12">
        <v>424.21</v>
      </c>
      <c r="I107" s="12">
        <v>424.21</v>
      </c>
      <c r="J107" s="12">
        <v>424.21</v>
      </c>
      <c r="K107" s="12">
        <v>424.21</v>
      </c>
      <c r="L107" s="12">
        <v>424.21</v>
      </c>
      <c r="M107" s="12">
        <v>424.21</v>
      </c>
      <c r="N107" s="11">
        <f>SUM(B107:M107)</f>
        <v>5881.82</v>
      </c>
    </row>
    <row r="108" spans="1:14">
      <c r="A108" t="s">
        <v>54</v>
      </c>
      <c r="B108" s="12">
        <v>10939.56</v>
      </c>
      <c r="C108" s="12">
        <v>10939.56</v>
      </c>
      <c r="D108" s="12">
        <v>10939.56</v>
      </c>
      <c r="E108" s="12">
        <v>10939.56</v>
      </c>
      <c r="F108" s="12">
        <v>10939.56</v>
      </c>
      <c r="G108" s="12">
        <v>10939.56</v>
      </c>
      <c r="H108" s="12">
        <v>10939.56</v>
      </c>
      <c r="I108" s="12">
        <v>10939.56</v>
      </c>
      <c r="J108" s="12">
        <v>10939.56</v>
      </c>
      <c r="K108" s="12">
        <v>10939.56</v>
      </c>
      <c r="L108" s="12">
        <v>10939.56</v>
      </c>
      <c r="M108" s="12">
        <v>10939.56</v>
      </c>
      <c r="N108" s="11">
        <f>SUM(B108:M108)</f>
        <v>131274.72</v>
      </c>
    </row>
    <row r="109" spans="1:14">
      <c r="A109" t="s">
        <v>55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2">
        <v>790.08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790.08</v>
      </c>
      <c r="N109" s="11">
        <f t="shared" ref="N109:N110" si="72">SUM(B109:M109)</f>
        <v>1580.16</v>
      </c>
    </row>
    <row r="110" spans="1:14">
      <c r="A110" t="s">
        <v>56</v>
      </c>
      <c r="B110" s="12">
        <v>25525.63</v>
      </c>
      <c r="C110" s="12">
        <v>25525.63</v>
      </c>
      <c r="D110" s="12">
        <v>25525.63</v>
      </c>
      <c r="E110" s="12">
        <v>25525.63</v>
      </c>
      <c r="F110" s="12">
        <v>25525.63</v>
      </c>
      <c r="G110" s="12">
        <v>25525.63</v>
      </c>
      <c r="H110" s="12">
        <v>25525.63</v>
      </c>
      <c r="I110" s="12">
        <v>25525.63</v>
      </c>
      <c r="J110" s="12">
        <v>25525.63</v>
      </c>
      <c r="K110" s="12">
        <v>25525.63</v>
      </c>
      <c r="L110" s="12">
        <v>25525.63</v>
      </c>
      <c r="M110" s="12">
        <v>25525.63</v>
      </c>
      <c r="N110" s="11">
        <f t="shared" si="72"/>
        <v>306307.56</v>
      </c>
    </row>
    <row r="111" spans="1:14">
      <c r="A111" t="s">
        <v>63</v>
      </c>
      <c r="B111" s="12">
        <v>1823.26</v>
      </c>
      <c r="C111" s="12">
        <v>1823.26</v>
      </c>
      <c r="D111" s="12">
        <v>1823.26</v>
      </c>
      <c r="E111" s="12">
        <v>1823.26</v>
      </c>
      <c r="F111" s="12">
        <v>1823.26</v>
      </c>
      <c r="G111" s="12">
        <v>1823.26</v>
      </c>
      <c r="H111" s="12">
        <v>1823.26</v>
      </c>
      <c r="I111" s="12">
        <v>1823.26</v>
      </c>
      <c r="J111" s="12">
        <v>1823.26</v>
      </c>
      <c r="K111" s="12">
        <v>1823.26</v>
      </c>
      <c r="L111" s="12">
        <v>1823.26</v>
      </c>
      <c r="M111" s="12">
        <v>1823.26</v>
      </c>
      <c r="N111" s="11">
        <f>SUM(B111:M111)</f>
        <v>21879.119999999995</v>
      </c>
    </row>
    <row r="112" spans="1:14">
      <c r="A112" t="s">
        <v>58</v>
      </c>
      <c r="B112" s="12">
        <v>7293.04</v>
      </c>
      <c r="C112" s="12">
        <v>3403.42</v>
      </c>
      <c r="D112" s="12">
        <v>7293.04</v>
      </c>
      <c r="E112" s="12">
        <v>3403.42</v>
      </c>
      <c r="F112" s="12">
        <v>7293.04</v>
      </c>
      <c r="G112" s="12">
        <v>3403.42</v>
      </c>
      <c r="H112" s="12">
        <v>7293.04</v>
      </c>
      <c r="I112" s="12">
        <v>3403.42</v>
      </c>
      <c r="J112" s="12">
        <v>7293.04</v>
      </c>
      <c r="K112" s="12">
        <v>3403.42</v>
      </c>
      <c r="L112" s="12">
        <v>7293.04</v>
      </c>
      <c r="M112" s="12">
        <v>3403.42</v>
      </c>
      <c r="N112" s="11">
        <f t="shared" ref="N112:N113" si="73">SUM(B112:M112)</f>
        <v>64178.759999999995</v>
      </c>
    </row>
    <row r="113" spans="1:14">
      <c r="A113" t="s">
        <v>57</v>
      </c>
      <c r="B113" s="12">
        <v>661.24</v>
      </c>
      <c r="C113" s="12">
        <v>661.24</v>
      </c>
      <c r="D113" s="12">
        <v>661.24</v>
      </c>
      <c r="E113" s="12">
        <v>661.24</v>
      </c>
      <c r="F113" s="12">
        <v>661.21</v>
      </c>
      <c r="G113" s="12">
        <v>661.24</v>
      </c>
      <c r="H113" s="12">
        <v>661.24</v>
      </c>
      <c r="I113" s="12">
        <v>661.24</v>
      </c>
      <c r="J113" s="12">
        <v>661.24</v>
      </c>
      <c r="K113" s="12">
        <v>661.24</v>
      </c>
      <c r="L113" s="12">
        <v>661.24</v>
      </c>
      <c r="M113" s="12">
        <v>661.24</v>
      </c>
      <c r="N113" s="11">
        <f t="shared" si="73"/>
        <v>7934.8499999999985</v>
      </c>
    </row>
    <row r="114" spans="1:14">
      <c r="A114" t="s">
        <v>64</v>
      </c>
      <c r="B114" s="12">
        <v>13149.24</v>
      </c>
      <c r="C114" s="12">
        <v>13149.24</v>
      </c>
      <c r="D114" s="12">
        <v>13149.24</v>
      </c>
      <c r="E114" s="12">
        <v>13149.24</v>
      </c>
      <c r="F114" s="12">
        <v>13149.24</v>
      </c>
      <c r="G114" s="12">
        <v>13149.24</v>
      </c>
      <c r="H114" s="12">
        <v>13149.24</v>
      </c>
      <c r="I114" s="12">
        <v>13149.24</v>
      </c>
      <c r="J114" s="12">
        <v>13149.24</v>
      </c>
      <c r="K114" s="12">
        <v>13149.24</v>
      </c>
      <c r="L114" s="12">
        <v>13149.24</v>
      </c>
      <c r="M114" s="12">
        <v>13149.24</v>
      </c>
      <c r="N114" s="11">
        <f>SUM(B114:M114)</f>
        <v>157790.88</v>
      </c>
    </row>
    <row r="115" spans="1:14">
      <c r="A115" t="s">
        <v>59</v>
      </c>
      <c r="B115" s="12">
        <v>31297.599999999999</v>
      </c>
      <c r="C115" s="12">
        <v>35336</v>
      </c>
      <c r="D115" s="12">
        <v>45432</v>
      </c>
      <c r="E115" s="12">
        <v>42403.199999999997</v>
      </c>
      <c r="F115" s="12">
        <v>40384</v>
      </c>
      <c r="G115" s="12">
        <v>30288</v>
      </c>
      <c r="H115" s="12">
        <v>37355.199999999997</v>
      </c>
      <c r="I115" s="12">
        <v>37355.199999999997</v>
      </c>
      <c r="J115" s="12">
        <v>7067.2</v>
      </c>
      <c r="K115" s="12">
        <v>40384</v>
      </c>
      <c r="L115" s="12">
        <v>41393.599999999999</v>
      </c>
      <c r="M115" s="12">
        <v>42403.199999999997</v>
      </c>
      <c r="N115" s="11">
        <f t="shared" ref="N115:N117" si="74">SUM(B115:M115)</f>
        <v>431099.2</v>
      </c>
    </row>
    <row r="116" spans="1:14">
      <c r="A116" t="s">
        <v>66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1">
        <f t="shared" si="74"/>
        <v>0</v>
      </c>
    </row>
    <row r="117" spans="1:14">
      <c r="A117" t="s">
        <v>67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1">
        <f t="shared" si="74"/>
        <v>0</v>
      </c>
    </row>
    <row r="118" spans="1:14">
      <c r="A118" t="s">
        <v>60</v>
      </c>
      <c r="B118" s="12">
        <f>B103-B105-B106-B107-B108-B109-B110-B111-B112-B113-B115-B114-B116-B117</f>
        <v>787227.72999999963</v>
      </c>
      <c r="C118" s="12">
        <f t="shared" ref="C118" si="75">C103-C105-C106-C107-C108-C109-C110-C111-C112-C113-C115-C114-C116-C117</f>
        <v>831569.17999999959</v>
      </c>
      <c r="D118" s="12">
        <f t="shared" ref="D118" si="76">D103-D105-D106-D107-D108-D109-D110-D111-D112-D113-D115-D114-D116-D117</f>
        <v>880558.6999999996</v>
      </c>
      <c r="E118" s="12">
        <f t="shared" ref="E118" si="77">E103-E105-E106-E107-E108-E109-E110-E111-E112-E113-E115-E114-E116-E117</f>
        <v>918161.05999999959</v>
      </c>
      <c r="F118" s="12">
        <f t="shared" ref="F118" si="78">F103-F105-F106-F107-F108-F109-F110-F111-F112-F113-F115-F114-F116-F117</f>
        <v>961660.01999999967</v>
      </c>
      <c r="G118" s="12">
        <f t="shared" ref="G118" si="79">G103-G105-G106-G107-G108-G109-G110-G111-G112-G113-G115-G114-G116-G117</f>
        <v>976925.93999999971</v>
      </c>
      <c r="H118" s="12">
        <f t="shared" ref="H118" si="80">H103-H105-H106-H107-H108-H109-H110-H111-H112-H113-H115-H114-H116-H117</f>
        <v>1010115.4599999997</v>
      </c>
      <c r="I118" s="12">
        <f t="shared" ref="I118" si="81">I103-I105-I106-I107-I108-I109-I110-I111-I112-I113-I115-I114-I116-I117</f>
        <v>1045168.8500000001</v>
      </c>
      <c r="J118" s="12">
        <f t="shared" ref="J118" si="82">J103-J105-J106-J107-J108-J109-J110-J111-J112-J113-J115-J114-J116-J117</f>
        <v>1128580.5700000003</v>
      </c>
      <c r="K118" s="12">
        <f t="shared" ref="K118" si="83">K103-K105-K106-K107-K108-K109-K110-K111-K112-K113-K115-K114-K116-K117</f>
        <v>1175004.6800000006</v>
      </c>
      <c r="L118" s="12">
        <f t="shared" ref="L118" si="84">L103-L105-L106-L107-L108-L109-L110-L111-L112-L113-L115-L114-L116-L117</f>
        <v>1211817.3000000007</v>
      </c>
      <c r="M118" s="12">
        <f t="shared" ref="M118" si="85">M103-M105-M106-M107-M108-M109-M110-M111-M112-M113-M115-M114-M116-M117</f>
        <v>1247855.570000001</v>
      </c>
      <c r="N118" s="11">
        <f>SUM(B118:M118)</f>
        <v>12174645.059999999</v>
      </c>
    </row>
    <row r="119" spans="1:14">
      <c r="A119" t="s">
        <v>61</v>
      </c>
      <c r="B119" s="12">
        <v>30387.66</v>
      </c>
      <c r="C119" s="12">
        <v>30387.66</v>
      </c>
      <c r="D119" s="12">
        <v>30387.66</v>
      </c>
      <c r="E119" s="12">
        <v>30387.66</v>
      </c>
      <c r="F119" s="12">
        <v>30387.66</v>
      </c>
      <c r="G119" s="12">
        <v>30387.66</v>
      </c>
      <c r="H119" s="12">
        <v>30387.66</v>
      </c>
      <c r="I119" s="12">
        <v>30387.66</v>
      </c>
      <c r="J119" s="12">
        <v>30387.66</v>
      </c>
      <c r="K119" s="12">
        <v>30387.66</v>
      </c>
      <c r="L119" s="12">
        <v>30387.66</v>
      </c>
      <c r="M119" s="12">
        <v>30387.66</v>
      </c>
      <c r="N119" s="11">
        <f t="shared" ref="N119" si="86">SUM(B119:M119)</f>
        <v>364651.91999999993</v>
      </c>
    </row>
    <row r="120" spans="1:14">
      <c r="A120" t="s">
        <v>62</v>
      </c>
      <c r="B120" s="12">
        <f>B118-B119</f>
        <v>756840.0699999996</v>
      </c>
      <c r="C120" s="12">
        <f>C118-C119</f>
        <v>801181.51999999955</v>
      </c>
      <c r="D120" s="12">
        <f>D118-D119</f>
        <v>850171.03999999957</v>
      </c>
      <c r="E120" s="12">
        <f>E118-E119</f>
        <v>887773.39999999956</v>
      </c>
      <c r="F120" s="12">
        <f>F118-F119</f>
        <v>931272.35999999964</v>
      </c>
      <c r="G120" s="12">
        <f t="shared" ref="G120" si="87">G118-G119</f>
        <v>946538.27999999968</v>
      </c>
      <c r="H120" s="12">
        <f t="shared" ref="H120" si="88">H118-H119</f>
        <v>979727.7999999997</v>
      </c>
      <c r="I120" s="12">
        <f t="shared" ref="I120" si="89">I118-I119</f>
        <v>1014781.1900000001</v>
      </c>
      <c r="J120" s="12">
        <f t="shared" ref="J120" si="90">J118-J119</f>
        <v>1098192.9100000004</v>
      </c>
      <c r="K120" s="12">
        <f t="shared" ref="K120" si="91">K118-K119</f>
        <v>1144617.0200000007</v>
      </c>
      <c r="L120" s="12">
        <f t="shared" ref="L120" si="92">L118-L119</f>
        <v>1181429.6400000008</v>
      </c>
      <c r="M120" s="12">
        <f t="shared" ref="M120" si="93">M118-M119</f>
        <v>1217467.9100000011</v>
      </c>
      <c r="N120" s="11">
        <f>SUM(B120:M120)</f>
        <v>11809993.140000001</v>
      </c>
    </row>
  </sheetData>
  <pageMargins left="0.7" right="0.7" top="0.75" bottom="0.75" header="0.3" footer="0.3"/>
  <pageSetup paperSize="9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E8AB-EDA4-4BF3-B0D8-728B6C9D5F5D}">
  <dimension ref="A2:F24"/>
  <sheetViews>
    <sheetView workbookViewId="0">
      <selection activeCell="I22" sqref="I22"/>
    </sheetView>
  </sheetViews>
  <sheetFormatPr defaultColWidth="11.42578125" defaultRowHeight="14.45"/>
  <cols>
    <col min="1" max="1" width="22.140625" bestFit="1" customWidth="1"/>
    <col min="2" max="3" width="12.42578125" bestFit="1" customWidth="1"/>
    <col min="4" max="4" width="14" bestFit="1" customWidth="1"/>
    <col min="5" max="5" width="13.85546875" customWidth="1"/>
    <col min="6" max="6" width="14" bestFit="1" customWidth="1"/>
  </cols>
  <sheetData>
    <row r="2" spans="1:6">
      <c r="B2" s="22">
        <v>2020</v>
      </c>
      <c r="C2" s="22">
        <v>2021</v>
      </c>
      <c r="D2" s="22">
        <v>2022</v>
      </c>
      <c r="E2" s="22">
        <v>2023</v>
      </c>
      <c r="F2" s="22">
        <v>2024</v>
      </c>
    </row>
    <row r="3" spans="1:6">
      <c r="A3" t="s">
        <v>68</v>
      </c>
      <c r="B3" s="12">
        <v>784650</v>
      </c>
      <c r="C3" s="12">
        <v>949042.5</v>
      </c>
      <c r="D3" s="12">
        <f>VENTAS!P51</f>
        <v>1142776.6200000001</v>
      </c>
      <c r="E3" s="12">
        <f>VENTAS!P70</f>
        <v>1341392.99</v>
      </c>
      <c r="F3" s="12">
        <f>VENTAS!P89</f>
        <v>1630321.1199999999</v>
      </c>
    </row>
    <row r="4" spans="1:6">
      <c r="A4" t="s">
        <v>69</v>
      </c>
      <c r="B4" s="12">
        <v>265833</v>
      </c>
      <c r="C4" s="12">
        <v>349712.1</v>
      </c>
      <c r="D4" s="12">
        <v>353917.7</v>
      </c>
      <c r="E4" s="12">
        <v>404791.5</v>
      </c>
      <c r="F4" s="12">
        <v>431009.2</v>
      </c>
    </row>
    <row r="5" spans="1:6" ht="15">
      <c r="A5" s="15" t="s">
        <v>70</v>
      </c>
      <c r="B5" s="16">
        <f>B3-B4</f>
        <v>518817</v>
      </c>
      <c r="C5" s="16">
        <f>C3-C4</f>
        <v>599330.4</v>
      </c>
      <c r="D5" s="16">
        <f>D3-D4</f>
        <v>788858.92000000016</v>
      </c>
      <c r="E5" s="16">
        <f>E3-E4</f>
        <v>936601.49</v>
      </c>
      <c r="F5" s="16">
        <f>F3-F4</f>
        <v>1199311.92</v>
      </c>
    </row>
    <row r="6" spans="1:6">
      <c r="A6" s="15" t="s">
        <v>71</v>
      </c>
      <c r="B6" s="12">
        <f>SUM(B7:B16)</f>
        <v>420241.6</v>
      </c>
      <c r="C6" s="12">
        <f>SUM(C7:C16)</f>
        <v>467601.95</v>
      </c>
      <c r="D6" s="12">
        <f t="shared" ref="D6:F6" si="0">SUM(D7:D16)</f>
        <v>516907.93</v>
      </c>
      <c r="E6" s="12">
        <f t="shared" si="0"/>
        <v>540364.09</v>
      </c>
      <c r="F6" s="12">
        <f t="shared" si="0"/>
        <v>566847.98499999987</v>
      </c>
    </row>
    <row r="7" spans="1:6" ht="15">
      <c r="A7" s="37" t="s">
        <v>56</v>
      </c>
      <c r="B7" s="12">
        <v>228000</v>
      </c>
      <c r="C7" s="12">
        <v>239400</v>
      </c>
      <c r="D7" s="12">
        <v>277830</v>
      </c>
      <c r="E7" s="12">
        <v>291721.56</v>
      </c>
      <c r="F7" s="12">
        <v>306307.56</v>
      </c>
    </row>
    <row r="8" spans="1:6" ht="15">
      <c r="A8" s="37" t="s">
        <v>72</v>
      </c>
      <c r="B8" s="12">
        <v>46800</v>
      </c>
      <c r="C8" s="12">
        <v>55440</v>
      </c>
      <c r="D8" s="12">
        <v>58212</v>
      </c>
      <c r="E8" s="12">
        <v>61122.6</v>
      </c>
      <c r="F8" s="12">
        <v>64178.73</v>
      </c>
    </row>
    <row r="9" spans="1:6" ht="15">
      <c r="A9" s="37" t="s">
        <v>54</v>
      </c>
      <c r="B9" s="12">
        <v>108000</v>
      </c>
      <c r="C9" s="12">
        <v>113400</v>
      </c>
      <c r="D9" s="12">
        <v>119070</v>
      </c>
      <c r="E9" s="12">
        <v>125023.5</v>
      </c>
      <c r="F9" s="12">
        <v>131274.68</v>
      </c>
    </row>
    <row r="10" spans="1:6" ht="15">
      <c r="A10" s="37" t="s">
        <v>73</v>
      </c>
      <c r="B10" s="12">
        <v>10684.6</v>
      </c>
      <c r="C10" s="12">
        <v>10684.6</v>
      </c>
      <c r="D10" s="12">
        <v>10684.6</v>
      </c>
      <c r="E10" s="12">
        <v>10684.6</v>
      </c>
      <c r="F10" s="12">
        <v>10684.6</v>
      </c>
    </row>
    <row r="11" spans="1:6" ht="15">
      <c r="A11" s="37" t="s">
        <v>74</v>
      </c>
      <c r="B11" s="12">
        <v>0</v>
      </c>
      <c r="C11" s="12">
        <v>18900</v>
      </c>
      <c r="D11" s="12">
        <v>19845</v>
      </c>
      <c r="E11" s="12">
        <v>20837.25</v>
      </c>
      <c r="F11" s="12">
        <v>21879.11</v>
      </c>
    </row>
    <row r="12" spans="1:6" ht="15">
      <c r="A12" s="37" t="s">
        <v>75</v>
      </c>
      <c r="B12" s="12">
        <v>10800</v>
      </c>
      <c r="C12" s="12">
        <v>11340</v>
      </c>
      <c r="D12" s="12">
        <v>11907</v>
      </c>
      <c r="E12" s="12">
        <v>12502.35</v>
      </c>
      <c r="F12" s="12">
        <v>13127.47</v>
      </c>
    </row>
    <row r="13" spans="1:6" ht="15">
      <c r="A13" s="37" t="s">
        <v>76</v>
      </c>
      <c r="B13" s="12">
        <v>3290</v>
      </c>
      <c r="C13" s="12">
        <v>3454.5</v>
      </c>
      <c r="D13" s="12">
        <v>3627.33</v>
      </c>
      <c r="E13" s="12">
        <v>3808.59</v>
      </c>
      <c r="F13" s="12">
        <v>3999.0250000000001</v>
      </c>
    </row>
    <row r="14" spans="1:6" ht="15">
      <c r="A14" s="37" t="s">
        <v>55</v>
      </c>
      <c r="B14" s="12">
        <v>1300</v>
      </c>
      <c r="C14" s="12">
        <v>3047.5</v>
      </c>
      <c r="D14" s="12">
        <v>3199.88</v>
      </c>
      <c r="E14" s="12">
        <v>1504.91</v>
      </c>
      <c r="F14" s="12">
        <v>1580.16</v>
      </c>
    </row>
    <row r="15" spans="1:6" ht="15">
      <c r="A15" s="37" t="s">
        <v>77</v>
      </c>
      <c r="B15" s="12">
        <v>4839</v>
      </c>
      <c r="C15" s="12">
        <v>5080.95</v>
      </c>
      <c r="D15" s="12">
        <v>5335</v>
      </c>
      <c r="E15" s="12">
        <v>5601.75</v>
      </c>
      <c r="F15" s="12">
        <v>5881.83</v>
      </c>
    </row>
    <row r="16" spans="1:6" ht="15">
      <c r="A16" s="37" t="s">
        <v>57</v>
      </c>
      <c r="B16" s="12">
        <v>6528</v>
      </c>
      <c r="C16" s="12">
        <v>6854.4</v>
      </c>
      <c r="D16" s="12">
        <v>7197.12</v>
      </c>
      <c r="E16" s="12">
        <v>7556.98</v>
      </c>
      <c r="F16" s="12">
        <v>7934.82</v>
      </c>
    </row>
    <row r="17" spans="1:6" ht="15">
      <c r="A17" s="15" t="s">
        <v>78</v>
      </c>
      <c r="B17" s="16">
        <f>B5-B6</f>
        <v>98575.400000000023</v>
      </c>
      <c r="C17" s="16">
        <f>C5-C6</f>
        <v>131728.45000000001</v>
      </c>
      <c r="D17" s="16">
        <f>D5-D6</f>
        <v>271950.99000000017</v>
      </c>
      <c r="E17" s="16">
        <f t="shared" ref="E17:F17" si="1">E5-E6</f>
        <v>396237.4</v>
      </c>
      <c r="F17" s="16">
        <f t="shared" si="1"/>
        <v>632463.93500000006</v>
      </c>
    </row>
    <row r="18" spans="1:6">
      <c r="A18" t="s">
        <v>79</v>
      </c>
      <c r="B18" s="12">
        <v>0</v>
      </c>
      <c r="C18" s="12">
        <v>0</v>
      </c>
      <c r="D18" s="12">
        <v>4734.84</v>
      </c>
      <c r="E18" s="12">
        <v>1753.31</v>
      </c>
      <c r="F18" s="12">
        <v>0</v>
      </c>
    </row>
    <row r="19" spans="1:6">
      <c r="A19" s="15" t="s">
        <v>80</v>
      </c>
      <c r="B19" s="12">
        <f>B17-B18</f>
        <v>98575.400000000023</v>
      </c>
      <c r="C19" s="12">
        <f>C17-C18</f>
        <v>131728.45000000001</v>
      </c>
      <c r="D19" s="12">
        <f>D17-D18</f>
        <v>267216.15000000014</v>
      </c>
      <c r="E19" s="12">
        <f>E17-E18</f>
        <v>394484.09</v>
      </c>
      <c r="F19" s="12">
        <f>F17-F18</f>
        <v>632463.93500000006</v>
      </c>
    </row>
    <row r="20" spans="1:6">
      <c r="A20" t="s">
        <v>81</v>
      </c>
      <c r="B20" s="12">
        <v>29572.46</v>
      </c>
      <c r="C20" s="12">
        <v>39518.54</v>
      </c>
      <c r="D20" s="12">
        <v>80164.52</v>
      </c>
      <c r="E20" s="12">
        <v>118343.14</v>
      </c>
      <c r="F20" s="12">
        <v>189712.18</v>
      </c>
    </row>
    <row r="21" spans="1:6">
      <c r="A21" t="s">
        <v>82</v>
      </c>
      <c r="B21" s="12">
        <v>9857.49</v>
      </c>
      <c r="C21" s="12">
        <v>13172.85</v>
      </c>
      <c r="D21" s="12">
        <v>26721.51</v>
      </c>
      <c r="E21" s="12">
        <v>39447.71</v>
      </c>
      <c r="F21" s="12">
        <v>63237.39</v>
      </c>
    </row>
    <row r="22" spans="1:6">
      <c r="A22" s="15" t="s">
        <v>83</v>
      </c>
      <c r="B22" s="16">
        <f>B19-B20-B21</f>
        <v>59145.450000000033</v>
      </c>
      <c r="C22" s="12">
        <f>C19-C20-C21</f>
        <v>79037.06</v>
      </c>
      <c r="D22" s="12">
        <f>D19-D20-D21</f>
        <v>160330.12000000011</v>
      </c>
      <c r="E22" s="12">
        <f>E19-E20-E21</f>
        <v>236693.24000000002</v>
      </c>
      <c r="F22" s="12">
        <f>F19-F20-F21</f>
        <v>379514.36500000005</v>
      </c>
    </row>
    <row r="23" spans="1:6">
      <c r="A23" t="s">
        <v>84</v>
      </c>
      <c r="B23">
        <v>3</v>
      </c>
      <c r="C23">
        <v>3</v>
      </c>
      <c r="D23">
        <v>3</v>
      </c>
      <c r="E23">
        <v>3</v>
      </c>
      <c r="F23">
        <v>3</v>
      </c>
    </row>
    <row r="24" spans="1:6">
      <c r="A24" s="15" t="s">
        <v>85</v>
      </c>
      <c r="B24" s="16">
        <f>B22/B23</f>
        <v>19715.150000000012</v>
      </c>
      <c r="C24" s="16">
        <f>C22/C23</f>
        <v>26345.686666666665</v>
      </c>
      <c r="D24" s="16">
        <f>D22/D23</f>
        <v>53443.373333333373</v>
      </c>
      <c r="E24" s="16">
        <f>E22/E23</f>
        <v>78897.746666666673</v>
      </c>
      <c r="F24" s="16">
        <f>F22/F23</f>
        <v>126504.78833333334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361E-5A9D-4812-9276-C6F8CD8B0929}">
  <dimension ref="A1:H89"/>
  <sheetViews>
    <sheetView workbookViewId="0">
      <selection activeCell="G52" sqref="G52"/>
    </sheetView>
  </sheetViews>
  <sheetFormatPr defaultColWidth="11.42578125" defaultRowHeight="14.45"/>
  <cols>
    <col min="1" max="1" width="18.140625" bestFit="1" customWidth="1"/>
    <col min="2" max="2" width="13.7109375" style="17" bestFit="1" customWidth="1"/>
    <col min="4" max="4" width="21.28515625" bestFit="1" customWidth="1"/>
    <col min="5" max="5" width="13.42578125" style="17" bestFit="1" customWidth="1"/>
  </cols>
  <sheetData>
    <row r="1" spans="1:5">
      <c r="A1" s="33">
        <v>2020</v>
      </c>
      <c r="B1" s="33"/>
      <c r="C1" s="33"/>
      <c r="D1" s="33"/>
      <c r="E1" s="19"/>
    </row>
    <row r="2" spans="1:5">
      <c r="A2" s="20" t="s">
        <v>86</v>
      </c>
      <c r="B2" s="19"/>
      <c r="C2" s="13"/>
      <c r="D2" s="20" t="s">
        <v>87</v>
      </c>
      <c r="E2" s="19"/>
    </row>
    <row r="3" spans="1:5">
      <c r="A3" s="20" t="s">
        <v>88</v>
      </c>
      <c r="B3" s="21">
        <f>B4+B5</f>
        <v>143413.45999999996</v>
      </c>
      <c r="C3" s="13"/>
      <c r="D3" s="20" t="s">
        <v>89</v>
      </c>
      <c r="E3" s="19">
        <f>E4</f>
        <v>39429.943999999996</v>
      </c>
    </row>
    <row r="4" spans="1:5">
      <c r="A4" s="13" t="s">
        <v>90</v>
      </c>
      <c r="B4" s="19">
        <f>'[1]FLUJO DE EFECTIVO'!M16</f>
        <v>137013.45999999996</v>
      </c>
      <c r="C4" s="13"/>
      <c r="D4" s="13" t="s">
        <v>91</v>
      </c>
      <c r="E4" s="19">
        <f>'[1]ESTADO DE RESULTADO'!B18+'[1]ESTADO DE RESULTADO'!B19</f>
        <v>39429.943999999996</v>
      </c>
    </row>
    <row r="5" spans="1:5">
      <c r="A5" s="13" t="s">
        <v>92</v>
      </c>
      <c r="B5" s="19">
        <v>6400</v>
      </c>
      <c r="C5" s="13"/>
      <c r="D5" s="13"/>
      <c r="E5" s="19"/>
    </row>
    <row r="6" spans="1:5">
      <c r="A6" s="20" t="s">
        <v>93</v>
      </c>
      <c r="B6" s="21">
        <f>B7+B9+B11+B13-B8-B10-B12-B14</f>
        <v>96161.400000000009</v>
      </c>
      <c r="C6" s="13"/>
      <c r="D6" s="20" t="s">
        <v>94</v>
      </c>
      <c r="E6" s="19">
        <f>E7</f>
        <v>0</v>
      </c>
    </row>
    <row r="7" spans="1:5">
      <c r="A7" s="13" t="s">
        <v>95</v>
      </c>
      <c r="B7" s="19">
        <f>'[1]tabla de inversion'!L3</f>
        <v>83025</v>
      </c>
      <c r="C7" s="13"/>
      <c r="D7" s="13"/>
      <c r="E7" s="19"/>
    </row>
    <row r="8" spans="1:5">
      <c r="A8" s="13" t="s">
        <v>96</v>
      </c>
      <c r="B8" s="19">
        <f>B7*0.1</f>
        <v>8302.5</v>
      </c>
      <c r="C8" s="13"/>
      <c r="D8" s="20" t="s">
        <v>97</v>
      </c>
      <c r="E8" s="19">
        <f>E3+E6</f>
        <v>39429.943999999996</v>
      </c>
    </row>
    <row r="9" spans="1:5">
      <c r="A9" s="13" t="s">
        <v>98</v>
      </c>
      <c r="B9" s="19">
        <f>'[1]tabla de inversion'!L4</f>
        <v>3000</v>
      </c>
      <c r="C9" s="13"/>
      <c r="D9" s="13"/>
      <c r="E9" s="19"/>
    </row>
    <row r="10" spans="1:5">
      <c r="A10" s="13" t="s">
        <v>96</v>
      </c>
      <c r="B10" s="19">
        <f>B9*0.1</f>
        <v>300</v>
      </c>
      <c r="C10" s="13"/>
      <c r="D10" s="20" t="s">
        <v>99</v>
      </c>
      <c r="E10" s="19">
        <f>E11+E12</f>
        <v>209144.916</v>
      </c>
    </row>
    <row r="11" spans="1:5">
      <c r="A11" s="13" t="s">
        <v>100</v>
      </c>
      <c r="B11" s="19">
        <f>'[1]tabla de inversion'!L5</f>
        <v>12732</v>
      </c>
      <c r="C11" s="13"/>
      <c r="D11" s="13" t="s">
        <v>101</v>
      </c>
      <c r="E11" s="19">
        <v>150000</v>
      </c>
    </row>
    <row r="12" spans="1:5">
      <c r="A12" s="13" t="s">
        <v>96</v>
      </c>
      <c r="B12" s="19">
        <f>B11*0.1</f>
        <v>1273.2</v>
      </c>
      <c r="C12" s="13"/>
      <c r="D12" s="13" t="s">
        <v>102</v>
      </c>
      <c r="E12" s="19">
        <f>'[1]ESTADO DE RESULTADO'!B20</f>
        <v>59144.91599999999</v>
      </c>
    </row>
    <row r="13" spans="1:5">
      <c r="A13" s="13" t="s">
        <v>103</v>
      </c>
      <c r="B13" s="19">
        <f>'[1]tabla de inversion'!L6</f>
        <v>8089</v>
      </c>
      <c r="C13" s="13"/>
      <c r="D13" s="13"/>
      <c r="E13" s="19"/>
    </row>
    <row r="14" spans="1:5">
      <c r="A14" s="13" t="s">
        <v>96</v>
      </c>
      <c r="B14" s="19">
        <f>B13*0.1</f>
        <v>808.90000000000009</v>
      </c>
      <c r="C14" s="13"/>
      <c r="D14" s="20" t="s">
        <v>104</v>
      </c>
      <c r="E14" s="19">
        <f>E10</f>
        <v>209144.916</v>
      </c>
    </row>
    <row r="15" spans="1:5">
      <c r="A15" s="20" t="s">
        <v>105</v>
      </c>
      <c r="B15" s="21">
        <f>B16</f>
        <v>9000</v>
      </c>
      <c r="C15" s="13"/>
      <c r="D15" s="13"/>
      <c r="E15" s="19"/>
    </row>
    <row r="16" spans="1:5">
      <c r="A16" s="13" t="s">
        <v>106</v>
      </c>
      <c r="B16" s="19">
        <f>'[1]FLUJO DE EFECTIVO'!B10/2</f>
        <v>9000</v>
      </c>
      <c r="C16" s="13"/>
      <c r="D16" s="20" t="s">
        <v>107</v>
      </c>
      <c r="E16" s="19">
        <f>E14+E8</f>
        <v>248574.86</v>
      </c>
    </row>
    <row r="17" spans="1:5">
      <c r="A17" s="20" t="s">
        <v>108</v>
      </c>
      <c r="B17" s="21">
        <f>SUM(B3+B6+B15)</f>
        <v>248574.86</v>
      </c>
      <c r="C17" s="13"/>
      <c r="D17" s="13"/>
      <c r="E17" s="19"/>
    </row>
    <row r="19" spans="1:5">
      <c r="A19" s="34">
        <v>2021</v>
      </c>
      <c r="B19" s="34"/>
      <c r="C19" s="34"/>
      <c r="D19" s="34"/>
    </row>
    <row r="20" spans="1:5">
      <c r="A20" s="15" t="s">
        <v>86</v>
      </c>
      <c r="D20" s="15" t="s">
        <v>87</v>
      </c>
    </row>
    <row r="21" spans="1:5">
      <c r="A21" s="15" t="s">
        <v>88</v>
      </c>
      <c r="B21" s="18">
        <f>B22+B23+0.02</f>
        <v>246396.56999999977</v>
      </c>
      <c r="D21" s="15" t="s">
        <v>89</v>
      </c>
      <c r="E21" s="17">
        <f>E22</f>
        <v>52691.379999999961</v>
      </c>
    </row>
    <row r="22" spans="1:5">
      <c r="A22" t="s">
        <v>90</v>
      </c>
      <c r="B22" s="17">
        <f>'[1]FLUJO DE EFECTIVO'!M37</f>
        <v>240096.54999999978</v>
      </c>
      <c r="D22" t="s">
        <v>91</v>
      </c>
      <c r="E22" s="17">
        <f>'[1]ESTADO DE RESULTADO'!B42+'[1]ESTADO DE RESULTADO'!B43</f>
        <v>52691.379999999961</v>
      </c>
    </row>
    <row r="23" spans="1:5">
      <c r="A23" t="s">
        <v>92</v>
      </c>
      <c r="B23" s="17">
        <v>6300</v>
      </c>
    </row>
    <row r="24" spans="1:5">
      <c r="A24" s="15" t="s">
        <v>93</v>
      </c>
      <c r="B24" s="18">
        <f>B25+B27+B29+B31-B26-B28-B30-B32</f>
        <v>85476.800000000003</v>
      </c>
      <c r="D24" s="15" t="s">
        <v>94</v>
      </c>
      <c r="E24" s="17">
        <f>E25</f>
        <v>0</v>
      </c>
    </row>
    <row r="25" spans="1:5">
      <c r="A25" t="s">
        <v>95</v>
      </c>
      <c r="B25" s="17">
        <f>'[1]tabla de inversion'!L3</f>
        <v>83025</v>
      </c>
    </row>
    <row r="26" spans="1:5">
      <c r="A26" t="s">
        <v>96</v>
      </c>
      <c r="B26" s="17">
        <f>(B25*0.1)*2</f>
        <v>16605</v>
      </c>
      <c r="D26" s="15" t="s">
        <v>97</v>
      </c>
      <c r="E26" s="17">
        <f>E21+E24</f>
        <v>52691.379999999961</v>
      </c>
    </row>
    <row r="27" spans="1:5">
      <c r="A27" t="s">
        <v>98</v>
      </c>
      <c r="B27" s="17">
        <f>'[1]tabla de inversion'!L4</f>
        <v>3000</v>
      </c>
    </row>
    <row r="28" spans="1:5">
      <c r="A28" t="s">
        <v>96</v>
      </c>
      <c r="B28" s="17">
        <f>(B27*0.1)*2</f>
        <v>600</v>
      </c>
      <c r="D28" s="15" t="s">
        <v>99</v>
      </c>
      <c r="E28" s="17">
        <f>E29+E30</f>
        <v>288181.98599999992</v>
      </c>
    </row>
    <row r="29" spans="1:5">
      <c r="A29" t="s">
        <v>100</v>
      </c>
      <c r="B29" s="17">
        <f>'[1]tabla de inversion'!L5</f>
        <v>12732</v>
      </c>
      <c r="D29" t="s">
        <v>101</v>
      </c>
      <c r="E29" s="17">
        <v>150000</v>
      </c>
    </row>
    <row r="30" spans="1:5">
      <c r="A30" t="s">
        <v>96</v>
      </c>
      <c r="B30" s="17">
        <f>(B29*0.1)*2</f>
        <v>2546.4</v>
      </c>
      <c r="D30" t="s">
        <v>102</v>
      </c>
      <c r="E30" s="17">
        <f>'[1]ESTADO DE RESULTADO'!B44+E12</f>
        <v>138181.98599999992</v>
      </c>
    </row>
    <row r="31" spans="1:5">
      <c r="A31" t="s">
        <v>103</v>
      </c>
      <c r="B31" s="17">
        <f>'[1]tabla de inversion'!L6</f>
        <v>8089</v>
      </c>
    </row>
    <row r="32" spans="1:5">
      <c r="A32" t="s">
        <v>96</v>
      </c>
      <c r="B32" s="17">
        <f>(B31*0.1)*2</f>
        <v>1617.8000000000002</v>
      </c>
      <c r="D32" s="15" t="s">
        <v>104</v>
      </c>
      <c r="E32" s="17">
        <f>E28</f>
        <v>288181.98599999992</v>
      </c>
    </row>
    <row r="33" spans="1:8">
      <c r="A33" s="15" t="s">
        <v>105</v>
      </c>
      <c r="B33" s="18">
        <f>B34</f>
        <v>9000</v>
      </c>
    </row>
    <row r="34" spans="1:8">
      <c r="A34" t="s">
        <v>106</v>
      </c>
      <c r="B34" s="17">
        <v>9000</v>
      </c>
      <c r="D34" s="15" t="s">
        <v>107</v>
      </c>
      <c r="E34" s="17">
        <f>E32+E26</f>
        <v>340873.36599999986</v>
      </c>
    </row>
    <row r="35" spans="1:8">
      <c r="A35" s="15" t="s">
        <v>108</v>
      </c>
      <c r="B35" s="18">
        <f>SUM(B21+B24+B33)</f>
        <v>340873.36999999976</v>
      </c>
    </row>
    <row r="37" spans="1:8">
      <c r="A37" s="34">
        <v>2022</v>
      </c>
      <c r="B37" s="34"/>
      <c r="C37" s="34"/>
      <c r="D37" s="34"/>
    </row>
    <row r="38" spans="1:8">
      <c r="A38" s="15" t="s">
        <v>86</v>
      </c>
      <c r="D38" s="15" t="s">
        <v>87</v>
      </c>
    </row>
    <row r="39" spans="1:8">
      <c r="A39" s="15" t="s">
        <v>88</v>
      </c>
      <c r="B39" s="18">
        <f>B40+B41+0.02</f>
        <v>498090.77249999926</v>
      </c>
      <c r="D39" s="15" t="s">
        <v>89</v>
      </c>
      <c r="E39" s="17">
        <f>E40+E41</f>
        <v>133374.87100000007</v>
      </c>
    </row>
    <row r="40" spans="1:8">
      <c r="A40" t="s">
        <v>90</v>
      </c>
      <c r="B40" s="17">
        <f>'[1]FLUJO DE EFECTIVO'!M60-6.06</f>
        <v>494783.25249999925</v>
      </c>
      <c r="D40" t="s">
        <v>91</v>
      </c>
      <c r="E40" s="17">
        <f>'[1]ESTADO DE RESULTADO'!B66+'[1]ESTADO DE RESULTADO'!B67-2+0.05</f>
        <v>106884.07100000007</v>
      </c>
    </row>
    <row r="41" spans="1:8">
      <c r="A41" t="s">
        <v>92</v>
      </c>
      <c r="B41" s="17">
        <v>3307.5</v>
      </c>
      <c r="D41" t="s">
        <v>109</v>
      </c>
      <c r="E41" s="17">
        <f>50000-'[1]FLUJO DE EFECTIVO'!N58</f>
        <v>26490.800000000003</v>
      </c>
    </row>
    <row r="42" spans="1:8">
      <c r="A42" s="15" t="s">
        <v>93</v>
      </c>
      <c r="B42" s="18">
        <f>B43+B45+B47+B49-B44-B46-B48-B50</f>
        <v>74792.2</v>
      </c>
    </row>
    <row r="43" spans="1:8">
      <c r="A43" t="s">
        <v>95</v>
      </c>
      <c r="B43" s="17">
        <v>83025</v>
      </c>
      <c r="D43" s="15" t="s">
        <v>94</v>
      </c>
    </row>
    <row r="44" spans="1:8">
      <c r="A44" t="s">
        <v>96</v>
      </c>
      <c r="B44" s="17">
        <f>(B43*0.1)*3</f>
        <v>24907.5</v>
      </c>
      <c r="D44" s="15" t="s">
        <v>97</v>
      </c>
      <c r="E44" s="17">
        <f>E39+E43</f>
        <v>133374.87100000007</v>
      </c>
    </row>
    <row r="45" spans="1:8">
      <c r="A45" t="s">
        <v>98</v>
      </c>
      <c r="B45" s="17">
        <v>3000</v>
      </c>
      <c r="H45" s="17">
        <f>(B41+B23)/2</f>
        <v>4803.75</v>
      </c>
    </row>
    <row r="46" spans="1:8">
      <c r="A46" t="s">
        <v>96</v>
      </c>
      <c r="B46" s="17">
        <f>(B45*0.1)*3</f>
        <v>900</v>
      </c>
      <c r="D46" s="15" t="s">
        <v>99</v>
      </c>
      <c r="E46" s="17">
        <f>E47+E48</f>
        <v>448508.08750000002</v>
      </c>
    </row>
    <row r="47" spans="1:8">
      <c r="A47" t="s">
        <v>100</v>
      </c>
      <c r="B47" s="17">
        <v>12732</v>
      </c>
      <c r="D47" t="s">
        <v>101</v>
      </c>
      <c r="E47" s="17">
        <v>150000</v>
      </c>
    </row>
    <row r="48" spans="1:8">
      <c r="A48" t="s">
        <v>96</v>
      </c>
      <c r="B48" s="17">
        <f>(B47*0.1)*3</f>
        <v>3819.6000000000004</v>
      </c>
      <c r="D48" t="s">
        <v>102</v>
      </c>
      <c r="E48" s="17">
        <f>'[1]ESTADO DE RESULTADO'!B68+E30</f>
        <v>298508.08750000002</v>
      </c>
    </row>
    <row r="49" spans="1:5">
      <c r="A49" t="s">
        <v>103</v>
      </c>
      <c r="B49" s="17">
        <v>8089</v>
      </c>
    </row>
    <row r="50" spans="1:5">
      <c r="A50" t="s">
        <v>96</v>
      </c>
      <c r="B50" s="17">
        <f>(B49*0.1)*3</f>
        <v>2426.7000000000003</v>
      </c>
      <c r="D50" s="15" t="s">
        <v>104</v>
      </c>
      <c r="E50" s="17">
        <f>E46</f>
        <v>448508.08750000002</v>
      </c>
    </row>
    <row r="51" spans="1:5">
      <c r="A51" s="15" t="s">
        <v>105</v>
      </c>
      <c r="B51" s="18">
        <f>B52</f>
        <v>9000</v>
      </c>
    </row>
    <row r="52" spans="1:5">
      <c r="A52" t="s">
        <v>106</v>
      </c>
      <c r="B52" s="17">
        <v>9000</v>
      </c>
      <c r="D52" s="15" t="s">
        <v>107</v>
      </c>
      <c r="E52" s="17">
        <f>E50+E44-0.01</f>
        <v>581882.94850000006</v>
      </c>
    </row>
    <row r="53" spans="1:5">
      <c r="A53" s="15" t="s">
        <v>108</v>
      </c>
      <c r="B53" s="18">
        <f>SUM(B39+B42+B51)-0.02</f>
        <v>581882.9524999992</v>
      </c>
    </row>
    <row r="55" spans="1:5">
      <c r="A55" s="34">
        <v>2023</v>
      </c>
      <c r="B55" s="34"/>
      <c r="C55" s="34"/>
      <c r="D55" s="34"/>
    </row>
    <row r="56" spans="1:5">
      <c r="A56" s="15" t="s">
        <v>86</v>
      </c>
      <c r="D56" s="15" t="s">
        <v>87</v>
      </c>
    </row>
    <row r="57" spans="1:5">
      <c r="A57" s="15" t="s">
        <v>88</v>
      </c>
      <c r="B57" s="18">
        <f>B58+B59+0.02</f>
        <v>769890.25787500048</v>
      </c>
      <c r="D57" s="15" t="s">
        <v>89</v>
      </c>
      <c r="E57" s="17">
        <f>E58+E59</f>
        <v>157790.85915000003</v>
      </c>
    </row>
    <row r="58" spans="1:5">
      <c r="A58" t="s">
        <v>90</v>
      </c>
      <c r="B58" s="17">
        <f>'[1]FLUJO DE EFECTIVO'!M83</f>
        <v>764680.91787500051</v>
      </c>
      <c r="D58" t="s">
        <v>91</v>
      </c>
      <c r="E58" s="17">
        <f>'[1]ESTADO DE RESULTADO'!B90+'[1]ESTADO DE RESULTADO'!B91</f>
        <v>157790.85915000003</v>
      </c>
    </row>
    <row r="59" spans="1:5">
      <c r="A59" t="s">
        <v>92</v>
      </c>
      <c r="B59" s="17">
        <f>'[1]2023'!N7</f>
        <v>5209.32</v>
      </c>
      <c r="D59" t="s">
        <v>109</v>
      </c>
      <c r="E59" s="17">
        <f>E41-'[1]FLUJO DE EFECTIVO'!N81</f>
        <v>0</v>
      </c>
    </row>
    <row r="60" spans="1:5">
      <c r="A60" s="15" t="s">
        <v>93</v>
      </c>
      <c r="B60" s="18">
        <f>B61+B63+B65+B67-B62-B64-B66-B68</f>
        <v>64107.6</v>
      </c>
    </row>
    <row r="61" spans="1:5">
      <c r="A61" t="s">
        <v>95</v>
      </c>
      <c r="B61" s="17">
        <v>83025</v>
      </c>
      <c r="D61" s="15" t="s">
        <v>94</v>
      </c>
    </row>
    <row r="62" spans="1:5">
      <c r="A62" t="s">
        <v>96</v>
      </c>
      <c r="B62" s="17">
        <f>(B61*0.1)*4</f>
        <v>33210</v>
      </c>
      <c r="D62" s="15" t="s">
        <v>97</v>
      </c>
      <c r="E62" s="17">
        <f>E57+E61</f>
        <v>157790.85915000003</v>
      </c>
    </row>
    <row r="63" spans="1:5">
      <c r="A63" t="s">
        <v>98</v>
      </c>
      <c r="B63" s="17">
        <v>3000</v>
      </c>
    </row>
    <row r="64" spans="1:5">
      <c r="A64" t="s">
        <v>96</v>
      </c>
      <c r="B64" s="17">
        <f>(B63*0.1)*4</f>
        <v>1200</v>
      </c>
      <c r="D64" s="15" t="s">
        <v>99</v>
      </c>
      <c r="E64" s="17">
        <f>E65+E66</f>
        <v>685194.40622500004</v>
      </c>
    </row>
    <row r="65" spans="1:8">
      <c r="A65" t="s">
        <v>100</v>
      </c>
      <c r="B65" s="17">
        <v>12732</v>
      </c>
      <c r="D65" t="s">
        <v>101</v>
      </c>
      <c r="E65" s="17">
        <v>150000</v>
      </c>
      <c r="H65" s="17">
        <f>(B59+B41)/2</f>
        <v>4258.41</v>
      </c>
    </row>
    <row r="66" spans="1:8">
      <c r="A66" t="s">
        <v>96</v>
      </c>
      <c r="B66" s="17">
        <f>(B65*0.1)*4</f>
        <v>5092.8</v>
      </c>
      <c r="D66" t="s">
        <v>102</v>
      </c>
      <c r="E66" s="17">
        <f>E48+'[1]ESTADO DE RESULTADO'!B92</f>
        <v>535194.40622500004</v>
      </c>
    </row>
    <row r="67" spans="1:8">
      <c r="A67" t="s">
        <v>103</v>
      </c>
      <c r="B67" s="17">
        <v>8089</v>
      </c>
    </row>
    <row r="68" spans="1:8">
      <c r="A68" t="s">
        <v>96</v>
      </c>
      <c r="B68" s="17">
        <f>(B67*0.1)*4</f>
        <v>3235.6000000000004</v>
      </c>
      <c r="D68" s="15" t="s">
        <v>104</v>
      </c>
      <c r="E68" s="17">
        <f>E64</f>
        <v>685194.40622500004</v>
      </c>
    </row>
    <row r="69" spans="1:8">
      <c r="A69" s="15" t="s">
        <v>105</v>
      </c>
      <c r="B69" s="18">
        <f>B70</f>
        <v>9000</v>
      </c>
    </row>
    <row r="70" spans="1:8">
      <c r="A70" t="s">
        <v>106</v>
      </c>
      <c r="B70" s="17">
        <v>9000</v>
      </c>
      <c r="D70" s="15" t="s">
        <v>107</v>
      </c>
      <c r="E70" s="17">
        <f>E68+E62</f>
        <v>842985.26537500008</v>
      </c>
      <c r="F70" s="17"/>
    </row>
    <row r="71" spans="1:8">
      <c r="A71" s="15" t="s">
        <v>108</v>
      </c>
      <c r="B71" s="18">
        <f>SUM(B57+B60+B69)-12.59</f>
        <v>842985.26787500049</v>
      </c>
    </row>
    <row r="73" spans="1:8">
      <c r="A73" s="34">
        <v>2024</v>
      </c>
      <c r="B73" s="34"/>
      <c r="C73" s="34"/>
      <c r="D73" s="34"/>
    </row>
    <row r="74" spans="1:8">
      <c r="A74" s="15" t="s">
        <v>86</v>
      </c>
      <c r="D74" s="15" t="s">
        <v>87</v>
      </c>
    </row>
    <row r="75" spans="1:8">
      <c r="A75" s="15" t="s">
        <v>88</v>
      </c>
      <c r="B75" s="18">
        <f>B76+B77+0.02</f>
        <v>1255145.361768753</v>
      </c>
      <c r="D75" s="15" t="s">
        <v>89</v>
      </c>
      <c r="E75" s="17">
        <f>E76+E77</f>
        <v>252949.5767075</v>
      </c>
    </row>
    <row r="76" spans="1:8">
      <c r="A76" t="s">
        <v>90</v>
      </c>
      <c r="B76" s="17">
        <f>'[1]FLUJO DE EFECTIVO'!M106</f>
        <v>1247852.301768753</v>
      </c>
      <c r="D76" t="s">
        <v>91</v>
      </c>
      <c r="E76" s="17">
        <f>'[1]ESTADO DE RESULTADO'!B114+'[1]ESTADO DE RESULTADO'!B115</f>
        <v>252949.5767075</v>
      </c>
    </row>
    <row r="77" spans="1:8">
      <c r="A77" t="s">
        <v>92</v>
      </c>
      <c r="B77" s="17">
        <f>'[1]2024'!N7</f>
        <v>7293.04</v>
      </c>
      <c r="D77" t="s">
        <v>109</v>
      </c>
      <c r="E77" s="17">
        <v>0</v>
      </c>
    </row>
    <row r="78" spans="1:8">
      <c r="A78" s="15" t="s">
        <v>93</v>
      </c>
      <c r="B78" s="18">
        <f>B79+B81+B83+B85-B80-B82-B84-B86</f>
        <v>53423</v>
      </c>
    </row>
    <row r="79" spans="1:8">
      <c r="A79" t="s">
        <v>95</v>
      </c>
      <c r="B79" s="17">
        <v>83025</v>
      </c>
      <c r="D79" s="15" t="s">
        <v>94</v>
      </c>
      <c r="H79" s="17">
        <f>(B77+B59)/2</f>
        <v>6251.18</v>
      </c>
    </row>
    <row r="80" spans="1:8">
      <c r="A80" t="s">
        <v>96</v>
      </c>
      <c r="B80" s="17">
        <f>(B79*0.1)*5</f>
        <v>41512.5</v>
      </c>
      <c r="D80" s="15" t="s">
        <v>97</v>
      </c>
      <c r="E80" s="17">
        <f>E75+E79</f>
        <v>252949.5767075</v>
      </c>
    </row>
    <row r="81" spans="1:5">
      <c r="A81" t="s">
        <v>98</v>
      </c>
      <c r="B81" s="17">
        <v>3000</v>
      </c>
    </row>
    <row r="82" spans="1:5">
      <c r="A82" t="s">
        <v>96</v>
      </c>
      <c r="B82" s="17">
        <f>(B81*0.1)*5</f>
        <v>1500</v>
      </c>
      <c r="D82" s="15" t="s">
        <v>99</v>
      </c>
      <c r="E82" s="17">
        <f>E83+E84</f>
        <v>1064617.14128625</v>
      </c>
    </row>
    <row r="83" spans="1:5">
      <c r="A83" t="s">
        <v>100</v>
      </c>
      <c r="B83" s="17">
        <v>12732</v>
      </c>
      <c r="D83" t="s">
        <v>101</v>
      </c>
      <c r="E83" s="17">
        <v>150000</v>
      </c>
    </row>
    <row r="84" spans="1:5">
      <c r="A84" t="s">
        <v>96</v>
      </c>
      <c r="B84" s="17">
        <f>(B83*0.1)*5</f>
        <v>6366</v>
      </c>
      <c r="D84" t="s">
        <v>102</v>
      </c>
      <c r="E84" s="17">
        <f>E66+'[1]ESTADO DE RESULTADO'!B116</f>
        <v>914617.14128624997</v>
      </c>
    </row>
    <row r="85" spans="1:5">
      <c r="A85" t="s">
        <v>103</v>
      </c>
      <c r="B85" s="17">
        <v>8089</v>
      </c>
    </row>
    <row r="86" spans="1:5">
      <c r="A86" t="s">
        <v>96</v>
      </c>
      <c r="B86" s="17">
        <f>(B85*0.1)*5</f>
        <v>4044.5000000000005</v>
      </c>
      <c r="D86" s="15" t="s">
        <v>104</v>
      </c>
      <c r="E86" s="17">
        <f>E82</f>
        <v>1064617.14128625</v>
      </c>
    </row>
    <row r="87" spans="1:5">
      <c r="A87" s="15" t="s">
        <v>105</v>
      </c>
      <c r="B87" s="18">
        <f>B88</f>
        <v>9000</v>
      </c>
    </row>
    <row r="88" spans="1:5">
      <c r="A88" t="s">
        <v>106</v>
      </c>
      <c r="B88" s="17">
        <v>9000</v>
      </c>
      <c r="D88" s="15" t="s">
        <v>107</v>
      </c>
      <c r="E88" s="17">
        <f>E86+E80-1.47</f>
        <v>1317565.24799375</v>
      </c>
    </row>
    <row r="89" spans="1:5">
      <c r="A89" s="15" t="s">
        <v>108</v>
      </c>
      <c r="B89" s="18">
        <f>SUM(B75+B78+B87)-3.11</f>
        <v>1317565.2517687529</v>
      </c>
    </row>
  </sheetData>
  <mergeCells count="5">
    <mergeCell ref="A1:D1"/>
    <mergeCell ref="A19:D19"/>
    <mergeCell ref="A37:D37"/>
    <mergeCell ref="A55:D55"/>
    <mergeCell ref="A73:D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3994-CB6A-4051-B008-A54F3E68F243}">
  <dimension ref="A1:D28"/>
  <sheetViews>
    <sheetView zoomScale="90" zoomScaleNormal="90" workbookViewId="0"/>
  </sheetViews>
  <sheetFormatPr defaultColWidth="11.42578125" defaultRowHeight="14.45"/>
  <cols>
    <col min="2" max="2" width="14.28515625" customWidth="1"/>
    <col min="3" max="3" width="13.42578125" bestFit="1" customWidth="1"/>
  </cols>
  <sheetData>
    <row r="1" spans="1:4">
      <c r="A1">
        <v>2020</v>
      </c>
    </row>
    <row r="2" spans="1:4">
      <c r="A2" t="s">
        <v>110</v>
      </c>
      <c r="B2" s="12">
        <v>605.55999999999995</v>
      </c>
    </row>
    <row r="3" spans="1:4">
      <c r="A3" t="s">
        <v>111</v>
      </c>
      <c r="B3" s="12">
        <v>83.06</v>
      </c>
      <c r="C3" t="s">
        <v>112</v>
      </c>
      <c r="D3">
        <f>B4/(B2-B3)</f>
        <v>783.84114832535886</v>
      </c>
    </row>
    <row r="4" spans="1:4">
      <c r="A4" t="s">
        <v>113</v>
      </c>
      <c r="B4" s="12">
        <f>'Estado de Resultados'!B6-'Estado de Resultados'!B10</f>
        <v>409557</v>
      </c>
    </row>
    <row r="7" spans="1:4">
      <c r="A7">
        <v>2021</v>
      </c>
    </row>
    <row r="8" spans="1:4">
      <c r="A8" t="s">
        <v>110</v>
      </c>
      <c r="B8" s="12">
        <v>635.83000000000004</v>
      </c>
    </row>
    <row r="9" spans="1:4">
      <c r="A9" t="s">
        <v>111</v>
      </c>
      <c r="B9" s="12">
        <v>87.21</v>
      </c>
      <c r="C9" t="s">
        <v>112</v>
      </c>
      <c r="D9">
        <f>B10/(B8-B9)</f>
        <v>813.37309977762391</v>
      </c>
    </row>
    <row r="10" spans="1:4">
      <c r="A10" t="s">
        <v>113</v>
      </c>
      <c r="B10" s="12">
        <f>'Estado de Resultados'!C6-'Estado de Resultados'!C10-'Estado de Resultados'!B10</f>
        <v>446232.75000000006</v>
      </c>
    </row>
    <row r="13" spans="1:4">
      <c r="A13">
        <v>2022</v>
      </c>
    </row>
    <row r="14" spans="1:4">
      <c r="A14" t="s">
        <v>110</v>
      </c>
      <c r="B14" s="12">
        <v>612.41</v>
      </c>
    </row>
    <row r="15" spans="1:4">
      <c r="A15" t="s">
        <v>111</v>
      </c>
      <c r="B15" s="12">
        <v>91.57</v>
      </c>
      <c r="C15" t="s">
        <v>112</v>
      </c>
      <c r="D15">
        <f>B16/(B14-B15)</f>
        <v>971.93635281468414</v>
      </c>
    </row>
    <row r="16" spans="1:4">
      <c r="A16" t="s">
        <v>113</v>
      </c>
      <c r="B16" s="12">
        <f>'Estado de Resultados'!D6-'Estado de Resultados'!D10</f>
        <v>506223.33</v>
      </c>
    </row>
    <row r="19" spans="1:4">
      <c r="A19">
        <v>2023</v>
      </c>
    </row>
    <row r="20" spans="1:4">
      <c r="A20" t="s">
        <v>110</v>
      </c>
      <c r="B20" s="12">
        <v>637.07000000000005</v>
      </c>
    </row>
    <row r="21" spans="1:4">
      <c r="A21" t="s">
        <v>111</v>
      </c>
      <c r="B21" s="12">
        <v>96.15</v>
      </c>
      <c r="C21" t="s">
        <v>112</v>
      </c>
      <c r="D21">
        <f>B22/(B20-B21)</f>
        <v>979.21964430969444</v>
      </c>
    </row>
    <row r="22" spans="1:4">
      <c r="A22" t="s">
        <v>113</v>
      </c>
      <c r="B22" s="12">
        <f>'Estado de Resultados'!E6-'Estado de Resultados'!E10</f>
        <v>529679.49</v>
      </c>
    </row>
    <row r="25" spans="1:4">
      <c r="A25">
        <v>2024</v>
      </c>
    </row>
    <row r="26" spans="1:4">
      <c r="A26" t="s">
        <v>110</v>
      </c>
      <c r="B26" s="12">
        <v>668.93</v>
      </c>
    </row>
    <row r="27" spans="1:4">
      <c r="A27" t="s">
        <v>111</v>
      </c>
      <c r="B27" s="12">
        <v>100.96</v>
      </c>
      <c r="C27" t="s">
        <v>112</v>
      </c>
      <c r="D27">
        <f>B28/(B26-B27)</f>
        <v>979.21260806028488</v>
      </c>
    </row>
    <row r="28" spans="1:4">
      <c r="A28" t="s">
        <v>113</v>
      </c>
      <c r="B28" s="12">
        <f>'Estado de Resultados'!F6-'Estado de Resultados'!F10</f>
        <v>556163.38499999989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537D-B834-4167-A54E-169C8F125488}">
  <dimension ref="A1:I20"/>
  <sheetViews>
    <sheetView workbookViewId="0">
      <selection activeCell="J26" sqref="J26"/>
    </sheetView>
  </sheetViews>
  <sheetFormatPr defaultColWidth="11.42578125" defaultRowHeight="14.45"/>
  <cols>
    <col min="1" max="1" width="20" customWidth="1"/>
    <col min="4" max="4" width="19.85546875" customWidth="1"/>
    <col min="5" max="8" width="12.42578125" bestFit="1" customWidth="1"/>
    <col min="9" max="9" width="14" bestFit="1" customWidth="1"/>
  </cols>
  <sheetData>
    <row r="1" spans="1:9">
      <c r="E1">
        <v>2020</v>
      </c>
      <c r="F1">
        <v>2021</v>
      </c>
      <c r="G1">
        <v>2022</v>
      </c>
      <c r="H1">
        <v>2023</v>
      </c>
      <c r="I1">
        <v>2024</v>
      </c>
    </row>
    <row r="3" spans="1:9">
      <c r="A3" t="s">
        <v>114</v>
      </c>
      <c r="B3" s="35" t="s">
        <v>115</v>
      </c>
      <c r="C3" s="35"/>
      <c r="D3" s="35"/>
      <c r="E3" s="12">
        <f>Balance!B3-Balance!E3</f>
        <v>103983.51599999997</v>
      </c>
      <c r="F3" s="12">
        <f>Balance!B21-Balance!E21</f>
        <v>193705.18999999983</v>
      </c>
      <c r="G3" s="12">
        <f>Balance!B39-Balance!E39</f>
        <v>364715.90149999922</v>
      </c>
      <c r="H3" s="12">
        <f>Balance!B57-Balance!E57</f>
        <v>612099.39872500044</v>
      </c>
      <c r="I3" s="12">
        <f>Balance!B75-Balance!E75</f>
        <v>1002195.785061253</v>
      </c>
    </row>
    <row r="4" spans="1:9">
      <c r="A4" t="s">
        <v>116</v>
      </c>
      <c r="B4" s="35" t="s">
        <v>117</v>
      </c>
      <c r="C4" s="35"/>
      <c r="D4" s="35"/>
      <c r="E4" s="24">
        <f>Balance!B3/Balance!E3</f>
        <v>3.6371712828199803</v>
      </c>
      <c r="F4" s="24">
        <f>Balance!B21/Balance!E21</f>
        <v>4.676221613478333</v>
      </c>
      <c r="G4" s="24">
        <f>Balance!B39/Balance!E39</f>
        <v>3.7345173702173553</v>
      </c>
      <c r="H4" s="24">
        <f>Balance!B57/Balance!E57</f>
        <v>4.8791816079987438</v>
      </c>
      <c r="I4" s="24">
        <f>Balance!B75/Balance!E75</f>
        <v>4.962037802578136</v>
      </c>
    </row>
    <row r="5" spans="1:9">
      <c r="B5" s="22"/>
      <c r="C5" s="22"/>
      <c r="D5" s="22"/>
    </row>
    <row r="6" spans="1:9">
      <c r="B6" s="22"/>
      <c r="C6" s="22"/>
      <c r="D6" s="22"/>
    </row>
    <row r="7" spans="1:9">
      <c r="A7" t="s">
        <v>118</v>
      </c>
      <c r="B7" s="36" t="s">
        <v>119</v>
      </c>
      <c r="C7" s="36"/>
      <c r="D7" s="36"/>
      <c r="E7" s="24">
        <f>VENTAS!P8/Balance!B5</f>
        <v>14</v>
      </c>
      <c r="F7" s="24">
        <f>VENTAS!P26/Balance!B23</f>
        <v>13.75</v>
      </c>
      <c r="G7" s="24">
        <f>VENTAS!P44/Balance!H45</f>
        <v>13.770491803278688</v>
      </c>
      <c r="H7" s="24">
        <f>VENTAS!P63/Balance!H65</f>
        <v>16.718455949521069</v>
      </c>
      <c r="I7" s="24">
        <f>VENTAS!P82/Balance!H79</f>
        <v>15.166659734642097</v>
      </c>
    </row>
    <row r="8" spans="1:9">
      <c r="A8" t="s">
        <v>120</v>
      </c>
      <c r="B8" s="35" t="s">
        <v>121</v>
      </c>
      <c r="C8" s="35"/>
      <c r="D8" s="35"/>
      <c r="E8" s="24">
        <f>30/E7</f>
        <v>2.1428571428571428</v>
      </c>
      <c r="F8" s="24">
        <f>30/F7</f>
        <v>2.1818181818181817</v>
      </c>
      <c r="G8" s="24">
        <f>30/G7</f>
        <v>2.1785714285714288</v>
      </c>
      <c r="H8" s="24">
        <f>30/H7</f>
        <v>1.7944240838137571</v>
      </c>
      <c r="I8" s="24">
        <f>30/I7</f>
        <v>1.9780228820903221</v>
      </c>
    </row>
    <row r="9" spans="1:9">
      <c r="A9" s="23" t="s">
        <v>122</v>
      </c>
      <c r="B9" s="35" t="s">
        <v>123</v>
      </c>
      <c r="C9" s="35"/>
      <c r="D9" s="35"/>
      <c r="E9" s="24">
        <f>'Estado de Resultados'!B3/Balance!B17</f>
        <v>3.1565943555192995</v>
      </c>
      <c r="F9" s="24">
        <f>'Estado de Resultados'!C3/Balance!B35</f>
        <v>2.7841497269205884</v>
      </c>
      <c r="G9" s="24">
        <f>'Estado de Resultados'!D3/Balance!B53</f>
        <v>1.9639286820316353</v>
      </c>
      <c r="H9" s="24">
        <f>'Estado de Resultados'!E3/Balance!B71</f>
        <v>1.5912413195326498</v>
      </c>
      <c r="I9" s="24">
        <f>'Estado de Resultados'!F3/Balance!B89</f>
        <v>1.2373741018225783</v>
      </c>
    </row>
    <row r="10" spans="1:9">
      <c r="B10" s="35"/>
      <c r="C10" s="35"/>
      <c r="D10" s="35"/>
    </row>
    <row r="12" spans="1:9" ht="28.9">
      <c r="A12" s="23" t="s">
        <v>124</v>
      </c>
      <c r="B12" s="36" t="s">
        <v>125</v>
      </c>
      <c r="C12" s="36"/>
      <c r="D12" s="36"/>
      <c r="E12" s="25">
        <f>Balance!E8/Balance!B17</f>
        <v>0.15862402175344681</v>
      </c>
      <c r="F12" s="25">
        <f>Balance!E26/Balance!B35</f>
        <v>0.15457757817807827</v>
      </c>
      <c r="G12" s="25">
        <f>Balance!E44/Balance!B53</f>
        <v>0.22921254253448894</v>
      </c>
      <c r="H12" s="25">
        <f>Balance!E62/Balance!B71</f>
        <v>0.18718104000531308</v>
      </c>
      <c r="I12" s="25">
        <f>Balance!E80/Balance!B89</f>
        <v>0.1919825802691216</v>
      </c>
    </row>
    <row r="13" spans="1:9">
      <c r="A13" t="s">
        <v>126</v>
      </c>
      <c r="B13" s="35" t="s">
        <v>127</v>
      </c>
      <c r="C13" s="35"/>
      <c r="D13" s="35"/>
      <c r="E13" s="25">
        <f>Balance!E8/Balance!E14</f>
        <v>0.18852929707361377</v>
      </c>
      <c r="F13" s="25">
        <f>Balance!E26/Balance!E28</f>
        <v>0.18284064431424932</v>
      </c>
      <c r="G13" s="25">
        <f>Balance!E44/Balance!E46</f>
        <v>0.29737450609516614</v>
      </c>
      <c r="H13" s="25">
        <f>Balance!E62/Balance!E64</f>
        <v>0.23028626287148296</v>
      </c>
      <c r="I13" s="25">
        <f>Balance!E80/Balance!E82</f>
        <v>0.23759675370423886</v>
      </c>
    </row>
    <row r="14" spans="1:9">
      <c r="A14" t="s">
        <v>128</v>
      </c>
      <c r="B14" s="35" t="s">
        <v>129</v>
      </c>
      <c r="C14" s="35"/>
      <c r="D14" s="35"/>
      <c r="E14" s="26" t="e">
        <f>'Estado de Resultados'!B17/0</f>
        <v>#DIV/0!</v>
      </c>
      <c r="F14" s="12" t="e">
        <f>'Estado de Resultados'!C17/'Estado de Resultados'!C18</f>
        <v>#DIV/0!</v>
      </c>
      <c r="G14" s="27">
        <f>'Estado de Resultados'!D17/'Estado de Resultados'!D18</f>
        <v>57.43615201358444</v>
      </c>
      <c r="H14" s="24">
        <f>'Estado de Resultados'!E17/'Estado de Resultados'!E18</f>
        <v>225.99392007117967</v>
      </c>
      <c r="I14" s="12" t="e">
        <f>'Estado de Resultados'!F17/'Estado de Resultados'!F18</f>
        <v>#DIV/0!</v>
      </c>
    </row>
    <row r="15" spans="1:9">
      <c r="A15" t="s">
        <v>130</v>
      </c>
      <c r="B15" s="35" t="s">
        <v>131</v>
      </c>
      <c r="C15" s="35"/>
      <c r="D15" s="35"/>
      <c r="E15" s="25">
        <f>Balance!E10/Balance!B17</f>
        <v>0.84137597824655319</v>
      </c>
      <c r="F15" s="25">
        <f>Balance!E28/Balance!B35</f>
        <v>0.84542241008735919</v>
      </c>
      <c r="G15" s="25">
        <f>Balance!E46/Balance!B53</f>
        <v>0.77078746777686469</v>
      </c>
      <c r="H15" s="25">
        <f>Balance!E64/Balance!B71</f>
        <v>0.8128189570290355</v>
      </c>
      <c r="I15" s="25">
        <f>Balance!E82/Balance!B89</f>
        <v>0.80801853256001155</v>
      </c>
    </row>
    <row r="18" spans="1:9" ht="28.9">
      <c r="A18" s="23" t="s">
        <v>132</v>
      </c>
      <c r="B18" s="35" t="s">
        <v>133</v>
      </c>
      <c r="C18" s="35"/>
      <c r="D18" s="35"/>
      <c r="E18" s="25">
        <f>'Estado de Resultados'!B22/Balance!B17</f>
        <v>0.23793818087637678</v>
      </c>
      <c r="F18" s="25">
        <f>'Estado de Resultados'!C22/Balance!B35</f>
        <v>0.23186633793071032</v>
      </c>
      <c r="G18" s="25">
        <f>'Estado de Resultados'!D22/Balance!B53</f>
        <v>0.27553671973230792</v>
      </c>
      <c r="H18" s="25">
        <f>'Estado de Resultados'!E22/Balance!B71</f>
        <v>0.280779806029893</v>
      </c>
      <c r="I18" s="25">
        <f>'Estado de Resultados'!F22/Balance!B89</f>
        <v>0.28804217816956285</v>
      </c>
    </row>
    <row r="19" spans="1:9">
      <c r="A19" t="s">
        <v>134</v>
      </c>
      <c r="B19" s="35" t="s">
        <v>135</v>
      </c>
      <c r="C19" s="35"/>
      <c r="D19" s="35"/>
      <c r="E19" s="25">
        <f>'Estado de Resultados'!B22/Balance!E11</f>
        <v>0.39430300000000024</v>
      </c>
      <c r="F19" s="25">
        <f>'Estado de Resultados'!C22/Balance!E29</f>
        <v>0.52691373333333336</v>
      </c>
      <c r="G19" s="25">
        <f>'Estado de Resultados'!D22/Balance!E47</f>
        <v>1.0688674666666673</v>
      </c>
      <c r="H19" s="25">
        <f>'Estado de Resultados'!E22/Balance!E65</f>
        <v>1.5779549333333334</v>
      </c>
      <c r="I19" s="25">
        <f>'Estado de Resultados'!F22/Balance!E83</f>
        <v>2.5300957666666668</v>
      </c>
    </row>
    <row r="20" spans="1:9">
      <c r="A20" t="s">
        <v>136</v>
      </c>
      <c r="B20" s="35" t="s">
        <v>137</v>
      </c>
      <c r="C20" s="35"/>
      <c r="D20" s="35"/>
      <c r="E20" s="25">
        <f>'Estado de Resultados'!B22/'Estado de Resultados'!B3</f>
        <v>7.5378130376601071E-2</v>
      </c>
      <c r="F20" s="25">
        <f>'Estado de Resultados'!C22/'Estado de Resultados'!C3</f>
        <v>8.3280843587089093E-2</v>
      </c>
      <c r="G20" s="25">
        <f>'Estado de Resultados'!D22/'Estado de Resultados'!D3</f>
        <v>0.14029874009848056</v>
      </c>
      <c r="H20" s="25">
        <f>'Estado de Resultados'!E22/'Estado de Resultados'!E3</f>
        <v>0.17645331514666707</v>
      </c>
      <c r="I20" s="25">
        <f>'Estado de Resultados'!F22/'Estado de Resultados'!F3</f>
        <v>0.23278503869225473</v>
      </c>
    </row>
  </sheetData>
  <mergeCells count="13">
    <mergeCell ref="B10:D10"/>
    <mergeCell ref="B3:D3"/>
    <mergeCell ref="B4:D4"/>
    <mergeCell ref="B7:D7"/>
    <mergeCell ref="B8:D8"/>
    <mergeCell ref="B9:D9"/>
    <mergeCell ref="B20:D20"/>
    <mergeCell ref="B12:D12"/>
    <mergeCell ref="B13:D13"/>
    <mergeCell ref="B14:D14"/>
    <mergeCell ref="B15:D15"/>
    <mergeCell ref="B18:D18"/>
    <mergeCell ref="B19:D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F9E4-49A0-4576-8518-328B1B678ADA}">
  <dimension ref="A1:K23"/>
  <sheetViews>
    <sheetView workbookViewId="0">
      <selection activeCell="G22" sqref="G22"/>
    </sheetView>
  </sheetViews>
  <sheetFormatPr defaultColWidth="11.42578125" defaultRowHeight="14.45"/>
  <cols>
    <col min="2" max="2" width="14" bestFit="1" customWidth="1"/>
    <col min="3" max="5" width="12.42578125" bestFit="1" customWidth="1"/>
    <col min="6" max="6" width="14" bestFit="1" customWidth="1"/>
    <col min="7" max="7" width="12.5703125" bestFit="1" customWidth="1"/>
  </cols>
  <sheetData>
    <row r="1" spans="1:11">
      <c r="A1" s="15" t="s">
        <v>138</v>
      </c>
      <c r="B1">
        <v>2020</v>
      </c>
      <c r="C1">
        <v>2021</v>
      </c>
      <c r="D1">
        <v>2022</v>
      </c>
      <c r="E1">
        <v>2023</v>
      </c>
      <c r="F1">
        <v>2024</v>
      </c>
    </row>
    <row r="2" spans="1:11">
      <c r="A2" t="s">
        <v>139</v>
      </c>
      <c r="B2" s="12">
        <f>Balance!B4</f>
        <v>137013.45999999996</v>
      </c>
      <c r="C2" s="12">
        <f>Balance!B22</f>
        <v>240096.54999999978</v>
      </c>
      <c r="D2" s="12">
        <f>Balance!B40</f>
        <v>494783.25249999925</v>
      </c>
      <c r="E2" s="12">
        <f>Balance!B58</f>
        <v>764680.91787500051</v>
      </c>
      <c r="F2" s="12">
        <f>Balance!B76</f>
        <v>1247852.301768753</v>
      </c>
      <c r="H2" s="29" t="s">
        <v>140</v>
      </c>
      <c r="I2" s="29"/>
      <c r="J2" s="29"/>
      <c r="K2" s="29"/>
    </row>
    <row r="3" spans="1:11">
      <c r="A3" t="s">
        <v>141</v>
      </c>
      <c r="B3" s="12">
        <v>150000</v>
      </c>
      <c r="G3" s="11">
        <f>B3-B2</f>
        <v>12986.540000000037</v>
      </c>
    </row>
    <row r="4" spans="1:11">
      <c r="G4" s="28">
        <f>(G3*12)/C2</f>
        <v>0.64906588620286543</v>
      </c>
    </row>
    <row r="5" spans="1:11">
      <c r="G5" s="28">
        <f>G4*30</f>
        <v>19.471976586085962</v>
      </c>
      <c r="H5" t="s">
        <v>142</v>
      </c>
    </row>
    <row r="7" spans="1:11">
      <c r="A7" s="15" t="s">
        <v>143</v>
      </c>
      <c r="B7">
        <v>2020</v>
      </c>
      <c r="C7">
        <v>2021</v>
      </c>
      <c r="D7">
        <v>2022</v>
      </c>
      <c r="E7">
        <v>2023</v>
      </c>
      <c r="F7">
        <v>2024</v>
      </c>
    </row>
    <row r="8" spans="1:11">
      <c r="A8" t="s">
        <v>144</v>
      </c>
      <c r="B8" s="11">
        <f>'Estado de Resultados'!B22</f>
        <v>59145.450000000033</v>
      </c>
      <c r="C8" s="11">
        <f>'Estado de Resultados'!C22</f>
        <v>79037.06</v>
      </c>
      <c r="D8" s="11">
        <f>'Estado de Resultados'!D22</f>
        <v>160330.12000000011</v>
      </c>
      <c r="E8" s="11">
        <f>'Estado de Resultados'!E22</f>
        <v>236693.24000000002</v>
      </c>
      <c r="F8" s="11">
        <f>'Estado de Resultados'!F22</f>
        <v>379514.36500000005</v>
      </c>
    </row>
    <row r="9" spans="1:11">
      <c r="A9" t="s">
        <v>145</v>
      </c>
      <c r="B9" s="11">
        <f>AVERAGE(B8:F8)</f>
        <v>182944.04700000002</v>
      </c>
    </row>
    <row r="10" spans="1:11">
      <c r="A10" t="s">
        <v>146</v>
      </c>
      <c r="B10" s="12">
        <v>150000</v>
      </c>
    </row>
    <row r="12" spans="1:11">
      <c r="A12" s="15" t="s">
        <v>143</v>
      </c>
      <c r="B12" s="30">
        <f>B9/B10</f>
        <v>1.2196269800000001</v>
      </c>
    </row>
    <row r="16" spans="1:11">
      <c r="A16" s="15" t="s">
        <v>147</v>
      </c>
    </row>
    <row r="17" spans="1:6">
      <c r="A17" t="s">
        <v>148</v>
      </c>
      <c r="B17" s="12">
        <v>-150000</v>
      </c>
      <c r="C17" s="12">
        <v>-150000</v>
      </c>
      <c r="E17" t="s">
        <v>149</v>
      </c>
      <c r="F17" s="31">
        <v>0.22</v>
      </c>
    </row>
    <row r="18" spans="1:6">
      <c r="A18" t="s">
        <v>150</v>
      </c>
      <c r="B18" s="11">
        <f>Flujos!M17</f>
        <v>137013.45999999996</v>
      </c>
      <c r="C18" s="11">
        <f>(B18)/(1+$F$17)^1</f>
        <v>112306.11475409834</v>
      </c>
    </row>
    <row r="19" spans="1:6">
      <c r="A19">
        <v>2021</v>
      </c>
      <c r="B19" s="11">
        <f>Flujos!M40</f>
        <v>240096.54999999978</v>
      </c>
      <c r="C19" s="11">
        <f>(B19)/(1+$F$17)^2</f>
        <v>161311.84493415736</v>
      </c>
    </row>
    <row r="20" spans="1:6">
      <c r="A20">
        <v>2022</v>
      </c>
      <c r="B20" s="11">
        <f>Flujos!M66</f>
        <v>494788.93999999907</v>
      </c>
      <c r="C20" s="11">
        <f>(B20)/(1+$F$17)^3</f>
        <v>272483.67704785813</v>
      </c>
    </row>
    <row r="21" spans="1:6">
      <c r="A21">
        <v>2023</v>
      </c>
      <c r="B21" s="11">
        <f>Flujos!M92</f>
        <v>764671.72999999975</v>
      </c>
      <c r="C21" s="11">
        <f>(B21)/(1+$F$17)^4</f>
        <v>345172.12154176831</v>
      </c>
    </row>
    <row r="22" spans="1:6">
      <c r="A22">
        <v>2024</v>
      </c>
      <c r="B22" s="11">
        <f>Flujos!M118</f>
        <v>1247855.570000001</v>
      </c>
      <c r="C22" s="11">
        <f>(B22)/(1+$F$17)^5</f>
        <v>461705.62807733676</v>
      </c>
    </row>
    <row r="23" spans="1:6">
      <c r="A23" t="s">
        <v>147</v>
      </c>
      <c r="B23" s="32">
        <f>IRR(B17:B22)</f>
        <v>1.5511231191819577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Fonseca</dc:creator>
  <cp:keywords/>
  <dc:description/>
  <cp:lastModifiedBy/>
  <cp:revision/>
  <dcterms:created xsi:type="dcterms:W3CDTF">2025-01-14T18:05:13Z</dcterms:created>
  <dcterms:modified xsi:type="dcterms:W3CDTF">2026-05-12T02:50:30Z</dcterms:modified>
  <cp:category/>
  <cp:contentStatus/>
</cp:coreProperties>
</file>