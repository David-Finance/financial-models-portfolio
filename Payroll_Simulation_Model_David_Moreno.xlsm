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900\Downloads\"/>
    </mc:Choice>
  </mc:AlternateContent>
  <xr:revisionPtr revIDLastSave="0" documentId="13_ncr:1_{87D6F701-014F-4A08-9356-AA76504D4646}" xr6:coauthVersionLast="47" xr6:coauthVersionMax="47" xr10:uidLastSave="{00000000-0000-0000-0000-000000000000}"/>
  <bookViews>
    <workbookView xWindow="-108" yWindow="-108" windowWidth="23256" windowHeight="12456" xr2:uid="{29F4CCF1-0669-4C2C-A6C9-003D58C82871}"/>
  </bookViews>
  <sheets>
    <sheet name="SIMULADOR NOMINA" sheetId="1" r:id="rId1"/>
    <sheet name="ISR SUBSIDIO" sheetId="2" state="hidden" r:id="rId2"/>
    <sheet name="CUOTAS IMSS" sheetId="3" state="hidden" r:id="rId3"/>
    <sheet name="Empleados" sheetId="7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9" i="1"/>
  <c r="C3" i="1"/>
  <c r="D19" i="1" l="1"/>
  <c r="O13" i="2"/>
  <c r="C8" i="1"/>
  <c r="C7" i="1"/>
  <c r="C5" i="1"/>
  <c r="Q2" i="2"/>
  <c r="Q3" i="2"/>
  <c r="Q4" i="2"/>
  <c r="C10" i="1" l="1"/>
  <c r="C6" i="1"/>
  <c r="B19" i="1" s="1"/>
  <c r="C11" i="1" l="1"/>
  <c r="C14" i="1" s="1"/>
  <c r="B20" i="1"/>
  <c r="D18" i="1" l="1"/>
  <c r="B18" i="1"/>
  <c r="D22" i="1" l="1"/>
  <c r="B23" i="1" a="1"/>
  <c r="B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<sst xmlns="http://schemas.openxmlformats.org/spreadsheetml/2006/main" count="118" uniqueCount="85">
  <si>
    <t>Límite inferior $</t>
  </si>
  <si>
    <t>Límite superior $</t>
  </si>
  <si>
    <t>Cuota fija $</t>
  </si>
  <si>
    <t>% para aplicarse sobre el excedente del Límite inferior $</t>
  </si>
  <si>
    <t>En adelante</t>
  </si>
  <si>
    <t>Tarifas para cálculo de retención diaria</t>
  </si>
  <si>
    <t>Tarifas para cálculo de retención semanal</t>
  </si>
  <si>
    <t>Tarifas para cálculo de retención quincenal</t>
  </si>
  <si>
    <t>Tarifas para cálculo de retención mensual</t>
  </si>
  <si>
    <t>Periodo</t>
  </si>
  <si>
    <t>Límite Inferior (MXN)</t>
  </si>
  <si>
    <t>Límite Superior (MXN)</t>
  </si>
  <si>
    <t>Subsidio (MXN)</t>
  </si>
  <si>
    <t>Diario</t>
  </si>
  <si>
    <t>Semanal</t>
  </si>
  <si>
    <t>Quincenal</t>
  </si>
  <si>
    <t>Mensual</t>
  </si>
  <si>
    <t>Concepto</t>
  </si>
  <si>
    <t>Base de cotización</t>
  </si>
  <si>
    <t>Patrón (%)</t>
  </si>
  <si>
    <t>Trabajador (%)</t>
  </si>
  <si>
    <t>Total (%)</t>
  </si>
  <si>
    <t>Riesgos de trabajo</t>
  </si>
  <si>
    <t>SBC</t>
  </si>
  <si>
    <t>—</t>
  </si>
  <si>
    <t>Enfermedades y maternidad (en especie)</t>
  </si>
  <si>
    <t>hasta 3 UMAs</t>
  </si>
  <si>
    <t>Enfermedades/maternidad (excedente)</t>
  </si>
  <si>
    <t>3 UMAs – SBC</t>
  </si>
  <si>
    <t>Gastos médicos pensionados</t>
  </si>
  <si>
    <t>Prestaciones en dinero (enfermedad)</t>
  </si>
  <si>
    <t>Invalidez y vida</t>
  </si>
  <si>
    <t>Guarderías y prestaciones sociales</t>
  </si>
  <si>
    <t>Infonavit (vivienda)</t>
  </si>
  <si>
    <t>ISR RETENIDO</t>
  </si>
  <si>
    <t>MENSUAL</t>
  </si>
  <si>
    <t>QUINCENAL</t>
  </si>
  <si>
    <t>SEMANAL</t>
  </si>
  <si>
    <t>DIARIO</t>
  </si>
  <si>
    <t>NOMBRE</t>
  </si>
  <si>
    <t>FRECUENCIA</t>
  </si>
  <si>
    <t>SALARIO MENSUAL BRUTO</t>
  </si>
  <si>
    <t>SALARIO DIARIO</t>
  </si>
  <si>
    <t>SALARIO BASE DE COTIZACION</t>
  </si>
  <si>
    <t>UMA DIARIA</t>
  </si>
  <si>
    <t>SALARIO MINIMO GENERAL</t>
  </si>
  <si>
    <t>DEDUCCIONES</t>
  </si>
  <si>
    <t>IMSS TRABAJADOR</t>
  </si>
  <si>
    <t>PERCEPCIONES</t>
  </si>
  <si>
    <t>SALARIO</t>
  </si>
  <si>
    <t>SUBSIDIO AL EMPLEO</t>
  </si>
  <si>
    <t>TOTAL A PAGAR</t>
  </si>
  <si>
    <t>INGRESO GRABADO</t>
  </si>
  <si>
    <t>=SI(B2="MENSUAL",(SI.ERROR((B6*30.4167*'CUOTAS IMSS'!D3)+(MAX(0,('ISR SUBSIDIO'!E3-B6))*30.4167*'CUOTAS IMSS'!D4)+(B6*30.4167*'CUOTAS IMSS'!D7)+(B6*30.4167*'CUOTAS IMSS'!D6)+(B6*30.4167*'CUOTAS IMSS'!D8)+(B6*30.4167*'CUOTAS IMSS'!D9),0)),SI(B2="QUINCENAL",(SI.ERROR((B6*30.4167*'CUOTAS IMSS'!D3)+(MAX(0,('ISR SUBSIDIO'!E3-B6))*30.4167*'CUOTAS IMSS'!D4)+(B6*30.4167*'CUOTAS IMSS'!D7)+(B6*30.4167*'CUOTAS IMSS'!D6)+(B6*30.4167*'CUOTAS IMSS'!D8)+(B6*30.4167*'CUOTAS IMSS'!D9),0))/2,SI(B2="SEMANAL",(SI.ERROR((B6*30.4167*'CUOTAS IMSS'!D3)+(MAX(0,('ISR SUBSIDIO'!E3-B6))*30.4167*'CUOTAS IMSS'!D4)+(B6*30.4167*'CUOTAS IMSS'!D7)+(B6*30.4167*'CUOTAS IMSS'!D6)+(B6*30.4167*'CUOTAS IMSS'!D8)+(B6*30.4167*'CUOTAS IMSS'!D9),0))/4,SI(B2="DIARIO",(SI.ERROR((B6*30.4167*'CUOTAS IMSS'!D3)+(MAX(0,('ISR SUBSIDIO'!E3-B6))*30.4167*'CUOTAS IMSS'!D4)+(B6*30.4167*'CUOTAS IMSS'!D7)+(B6*30.4167*'CUOTAS IMSS'!D6)+(B6*30.4167*'CUOTAS IMSS'!D8)+(B6*30.4167*'CUOTAS IMSS'!D9),0))/30.4167))))</t>
  </si>
  <si>
    <t>=SI(B2="MENSUAL",(B3-BUSCARV(B3,'ISR SUBSIDIO'!A42:D52,1,VERDADERO))*BUSCARV(B3,'ISR SUBSIDIO'!A42:D52,4,VERDADERO)+BUSCARV(B3,'ISR SUBSIDIO'!A42:D52,3,VERDADERO),SI(B2="QUINCENAL",(B3-BUSCARV(B3,'ISR SUBSIDIO'!A29:D39,1,VERDADERO))*BUSCARV(B3,'ISR SUBSIDIO'!A29:D39,4,VERDADERO)+BUSCARV(B3,'ISR SUBSIDIO'!A29:D39,3,VERDADERO),SI(B2="SEMANAL",(B3-BUSCARV(B3,'ISR SUBSIDIO'!A16:D26,1,VERDADERO))*BUSCARV(B3,'ISR SUBSIDIO'!A16:D26,4,VERDADERO)+BUSCARV(B3,'ISR SUBSIDIO'!A16:D26,3,VERDADERO),SI(B2="DIARIO",(B3-BUSCARV(B3,'ISR SUBSIDIO'!A3:D13,1,VERDADERO))*BUSCARV(B3,'ISR SUBSIDIO'!A3:D13,4,VERDADERO)+BUSCARV(B3,'ISR SUBSIDIO'!A3:D13,3,VERDADERO)))))</t>
  </si>
  <si>
    <t>mensual</t>
  </si>
  <si>
    <t>quincenal</t>
  </si>
  <si>
    <t>semana</t>
  </si>
  <si>
    <t>diario</t>
  </si>
  <si>
    <t xml:space="preserve">TOTAL A PAGAR </t>
  </si>
  <si>
    <t>IMSS TRABAJADOR FORM. 2</t>
  </si>
  <si>
    <t>VACACIONES</t>
  </si>
  <si>
    <t>PRIMA VACACIONAL</t>
  </si>
  <si>
    <t>TABLA DE VACACIONES</t>
  </si>
  <si>
    <t>AÑOS LABORADOS</t>
  </si>
  <si>
    <t>DIAS</t>
  </si>
  <si>
    <t>Jorge Esparza</t>
  </si>
  <si>
    <t>Rodrigo Hernandez</t>
  </si>
  <si>
    <t>Samara Fuentes</t>
  </si>
  <si>
    <t>Patricia Robles</t>
  </si>
  <si>
    <t>Salario</t>
  </si>
  <si>
    <t>Nombre</t>
  </si>
  <si>
    <t>Daniel Meza</t>
  </si>
  <si>
    <t>Bruno Hernandez</t>
  </si>
  <si>
    <t>Flor Perez</t>
  </si>
  <si>
    <t>Luisa Fernandez</t>
  </si>
  <si>
    <t>Eloisa Moreno</t>
  </si>
  <si>
    <t>Paula Nava</t>
  </si>
  <si>
    <t>Laila Herrera</t>
  </si>
  <si>
    <t>Diego Fuentes</t>
  </si>
  <si>
    <t>Ingreso</t>
  </si>
  <si>
    <t>ANTIGÜEDAD (AÑOS)</t>
  </si>
  <si>
    <t>Frecuencia de pago</t>
  </si>
  <si>
    <t>Luis David Moreno Reyes</t>
  </si>
  <si>
    <t>AGUINALDO (N/A PARA ESTE SIMULADOR)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</si>
</sst>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">
    <xf numFmtId="0" fontId="0" fillId="0" borderId="0" xfId="0"/>
    <xf numFmtId="4" fontId="0" fillId="0" borderId="0" xfId="0" applyNumberFormat="1"/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left" vertical="center" wrapText="1" indent="1"/>
    </xf>
    <xf numFmtId="43" fontId="0" fillId="0" borderId="0" xfId="1" applyFont="1"/>
    <xf numFmtId="10" fontId="0" fillId="0" borderId="0" xfId="0" applyNumberFormat="1"/>
    <xf numFmtId="9" fontId="0" fillId="0" borderId="0" xfId="0" applyNumberFormat="1"/>
    <xf numFmtId="9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44" fontId="0" fillId="0" borderId="1" xfId="2" applyFont="1" applyBorder="1"/>
    <xf numFmtId="0" fontId="0" fillId="0" borderId="1" xfId="0" applyBorder="1"/>
    <xf numFmtId="44" fontId="0" fillId="0" borderId="1" xfId="0" applyNumberFormat="1" applyBorder="1"/>
    <xf numFmtId="44" fontId="0" fillId="0" borderId="1" xfId="2" quotePrefix="1" applyFont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43" fontId="2" fillId="0" borderId="1" xfId="0" applyNumberFormat="1" applyFont="1" applyBorder="1"/>
    <xf numFmtId="0" fontId="0" fillId="0" borderId="1" xfId="0" applyBorder="1" applyAlignment="1">
      <alignment horizontal="center"/>
    </xf>
    <xf numFmtId="44" fontId="0" fillId="0" borderId="0" xfId="2" applyFont="1"/>
    <xf numFmtId="14" fontId="0" fillId="0" borderId="0" xfId="0" applyNumberFormat="1"/>
    <xf numFmtId="164" fontId="0" fillId="0" borderId="2" xfId="1" applyNumberFormat="1" applyFont="1" applyBorder="1" applyAlignment="1">
      <alignment horizontal="center"/>
    </xf>
    <xf numFmtId="164" fontId="0" fillId="0" borderId="3" xfId="1" applyNumberFormat="1" applyFont="1" applyBorder="1" applyAlignment="1">
      <alignment horizontal="center"/>
    </xf>
    <xf numFmtId="44" fontId="0" fillId="0" borderId="2" xfId="2" applyFont="1" applyBorder="1" applyAlignment="1">
      <alignment horizontal="center"/>
    </xf>
    <xf numFmtId="44" fontId="0" fillId="0" borderId="3" xfId="2" applyFont="1" applyBorder="1" applyAlignment="1">
      <alignment horizontal="center"/>
    </xf>
    <xf numFmtId="0" fontId="0" fillId="2" borderId="0" xfId="0" quotePrefix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2" fillId="2" borderId="1" xfId="0" quotePrefix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2" xfId="0" quotePrefix="1" applyFont="1" applyFill="1" applyBorder="1" applyAlignment="1">
      <alignment horizontal="left"/>
    </xf>
    <xf numFmtId="0" fontId="2" fillId="3" borderId="3" xfId="0" quotePrefix="1" applyFont="1" applyFill="1" applyBorder="1" applyAlignment="1">
      <alignment horizontal="left"/>
    </xf>
    <xf numFmtId="0" fontId="0" fillId="3" borderId="0" xfId="0" quotePrefix="1" applyFill="1" applyAlignment="1">
      <alignment horizontal="center" vertical="center" wrapText="1"/>
    </xf>
    <xf numFmtId="0" fontId="0" fillId="0" borderId="1" xfId="0" applyBorder="1" applyAlignment="1">
      <alignment horizontal="right"/>
    </xf>
    <xf numFmtId="44" fontId="0" fillId="0" borderId="1" xfId="2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2" fillId="3" borderId="1" xfId="0" quotePrefix="1" applyFont="1" applyFill="1" applyBorder="1" applyAlignment="1">
      <alignment horizontal="left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E5DEB-CD59-4802-BEA4-B08861B58C98}">
  <sheetPr codeName="Hoja1"/>
  <dimension ref="A1:M32"/>
  <sheetViews>
    <sheetView tabSelected="1" workbookViewId="0">
      <selection activeCell="E9" sqref="E9"/>
    </sheetView>
  </sheetViews>
  <sheetFormatPr baseColWidth="10" defaultRowHeight="14.4" x14ac:dyDescent="0.3"/>
  <cols>
    <col min="1" max="1" width="25.88671875" bestFit="1" customWidth="1"/>
    <col min="2" max="2" width="23.21875" bestFit="1" customWidth="1"/>
    <col min="3" max="3" width="19.6640625" bestFit="1" customWidth="1"/>
    <col min="4" max="4" width="22.21875" bestFit="1" customWidth="1"/>
    <col min="7" max="7" width="12.44140625" bestFit="1" customWidth="1"/>
  </cols>
  <sheetData>
    <row r="1" spans="1:13" ht="14.4" customHeight="1" x14ac:dyDescent="0.4">
      <c r="A1" s="29" t="s">
        <v>39</v>
      </c>
      <c r="B1" s="29"/>
      <c r="C1" s="35" t="s">
        <v>72</v>
      </c>
      <c r="D1" s="35"/>
      <c r="F1" s="27" t="s">
        <v>83</v>
      </c>
      <c r="G1" s="27"/>
      <c r="H1" s="27"/>
      <c r="I1" s="27"/>
      <c r="J1" s="27"/>
      <c r="K1" s="27"/>
      <c r="L1" s="27"/>
      <c r="M1" s="27"/>
    </row>
    <row r="2" spans="1:13" ht="15" customHeight="1" x14ac:dyDescent="0.4">
      <c r="A2" s="29" t="s">
        <v>40</v>
      </c>
      <c r="B2" s="29"/>
      <c r="C2" s="35" t="str">
        <f>IF(C1="","",VLOOKUP(C1,Empleados!B3:E10,4,0))</f>
        <v>SEMANAL</v>
      </c>
      <c r="D2" s="35"/>
      <c r="F2" s="27">
        <v>66362</v>
      </c>
      <c r="G2" s="27"/>
      <c r="H2" s="27"/>
      <c r="I2" s="27"/>
      <c r="J2" s="27"/>
      <c r="K2" s="27"/>
      <c r="L2" s="27"/>
      <c r="M2" s="27"/>
    </row>
    <row r="3" spans="1:13" x14ac:dyDescent="0.3">
      <c r="A3" s="29" t="s">
        <v>41</v>
      </c>
      <c r="B3" s="29"/>
      <c r="C3" s="36">
        <f>IF(C1="","",VLOOKUP(C1,Empleados!B3:D10,2,0))</f>
        <v>25000</v>
      </c>
      <c r="D3" s="36"/>
      <c r="F3" s="26"/>
      <c r="G3" s="26"/>
      <c r="H3" s="26"/>
      <c r="I3" s="26"/>
      <c r="J3" s="26"/>
      <c r="K3" s="26"/>
      <c r="L3" s="26"/>
      <c r="M3" s="26"/>
    </row>
    <row r="4" spans="1:13" ht="16.2" customHeight="1" x14ac:dyDescent="0.3">
      <c r="A4" s="31"/>
      <c r="B4" s="31"/>
      <c r="C4" s="31"/>
      <c r="D4" s="31"/>
      <c r="F4" s="26" t="s">
        <v>54</v>
      </c>
      <c r="G4" s="26"/>
      <c r="H4" s="26"/>
      <c r="I4" s="26"/>
      <c r="J4" s="26"/>
      <c r="K4" s="26"/>
      <c r="L4" s="26"/>
      <c r="M4" s="26"/>
    </row>
    <row r="5" spans="1:13" ht="14.4" customHeight="1" x14ac:dyDescent="0.3">
      <c r="A5" s="29" t="s">
        <v>42</v>
      </c>
      <c r="B5" s="29"/>
      <c r="C5" s="37">
        <f>(C3/30.4167)</f>
        <v>821.91690748832059</v>
      </c>
      <c r="D5" s="37"/>
      <c r="F5" s="26"/>
      <c r="G5" s="26"/>
      <c r="H5" s="26"/>
      <c r="I5" s="26"/>
      <c r="J5" s="26"/>
      <c r="K5" s="26"/>
      <c r="L5" s="26"/>
      <c r="M5" s="26"/>
    </row>
    <row r="6" spans="1:13" x14ac:dyDescent="0.3">
      <c r="A6" s="29" t="s">
        <v>43</v>
      </c>
      <c r="B6" s="29"/>
      <c r="C6" s="37">
        <f>C5</f>
        <v>821.91690748832059</v>
      </c>
      <c r="D6" s="37"/>
      <c r="F6" s="26"/>
      <c r="G6" s="26"/>
      <c r="H6" s="26"/>
      <c r="I6" s="26"/>
      <c r="J6" s="26"/>
      <c r="K6" s="26"/>
      <c r="L6" s="26"/>
      <c r="M6" s="26"/>
    </row>
    <row r="7" spans="1:13" x14ac:dyDescent="0.3">
      <c r="A7" s="38" t="s">
        <v>44</v>
      </c>
      <c r="B7" s="38"/>
      <c r="C7" s="36">
        <f>'ISR SUBSIDIO'!E3</f>
        <v>113.14</v>
      </c>
      <c r="D7" s="36"/>
      <c r="F7" s="26"/>
      <c r="G7" s="26"/>
      <c r="H7" s="26"/>
      <c r="I7" s="26"/>
      <c r="J7" s="26"/>
      <c r="K7" s="26"/>
      <c r="L7" s="26"/>
      <c r="M7" s="26"/>
    </row>
    <row r="8" spans="1:13" x14ac:dyDescent="0.3">
      <c r="A8" s="38" t="s">
        <v>45</v>
      </c>
      <c r="B8" s="38"/>
      <c r="C8" s="36">
        <f>'ISR SUBSIDIO'!F3</f>
        <v>278.8</v>
      </c>
      <c r="D8" s="36"/>
      <c r="F8" s="26"/>
      <c r="G8" s="26"/>
      <c r="H8" s="26"/>
      <c r="I8" s="26"/>
      <c r="J8" s="26"/>
      <c r="K8" s="26"/>
      <c r="L8" s="26"/>
      <c r="M8" s="26"/>
    </row>
    <row r="9" spans="1:13" x14ac:dyDescent="0.3">
      <c r="A9" s="32" t="s">
        <v>81</v>
      </c>
      <c r="B9" s="33"/>
      <c r="C9" s="22">
        <f ca="1">ROUND(_xlfn.DAYS(TODAY(),VLOOKUP(C1,Empleados!B3:D10,3,0))/365,0)</f>
        <v>1</v>
      </c>
      <c r="D9" s="23"/>
      <c r="F9" s="26"/>
      <c r="G9" s="26"/>
      <c r="H9" s="26"/>
      <c r="I9" s="26"/>
      <c r="J9" s="26"/>
      <c r="K9" s="26"/>
      <c r="L9" s="26"/>
      <c r="M9" s="26"/>
    </row>
    <row r="10" spans="1:13" x14ac:dyDescent="0.3">
      <c r="A10" s="32" t="s">
        <v>61</v>
      </c>
      <c r="B10" s="33"/>
      <c r="C10" s="24">
        <f ca="1">VLOOKUP(C9,'ISR SUBSIDIO'!N20:P54,3,FALSE)*C5</f>
        <v>9863.0028898598466</v>
      </c>
      <c r="D10" s="25"/>
      <c r="F10" s="26"/>
      <c r="G10" s="26"/>
      <c r="H10" s="26"/>
      <c r="I10" s="26"/>
      <c r="J10" s="26"/>
      <c r="K10" s="26"/>
      <c r="L10" s="26"/>
      <c r="M10" s="26"/>
    </row>
    <row r="11" spans="1:13" x14ac:dyDescent="0.3">
      <c r="A11" s="32" t="s">
        <v>62</v>
      </c>
      <c r="B11" s="33"/>
      <c r="C11" s="24">
        <f ca="1">C10*0.25</f>
        <v>2465.7507224649617</v>
      </c>
      <c r="D11" s="25"/>
      <c r="F11" s="26"/>
      <c r="G11" s="26"/>
      <c r="H11" s="26"/>
      <c r="I11" s="26"/>
      <c r="J11" s="26"/>
      <c r="K11" s="26"/>
      <c r="L11" s="26"/>
      <c r="M11" s="26"/>
    </row>
    <row r="12" spans="1:13" x14ac:dyDescent="0.3">
      <c r="A12" s="32" t="s">
        <v>84</v>
      </c>
      <c r="B12" s="33"/>
      <c r="C12" s="24">
        <v>0</v>
      </c>
      <c r="D12" s="25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8"/>
      <c r="B13" s="28"/>
      <c r="C13" s="28"/>
      <c r="D13" s="28"/>
      <c r="F13" s="26"/>
      <c r="G13" s="26"/>
      <c r="H13" s="26"/>
      <c r="I13" s="26"/>
      <c r="J13" s="26"/>
      <c r="K13" s="26"/>
      <c r="L13" s="26"/>
      <c r="M13" s="26"/>
    </row>
    <row r="14" spans="1:13" ht="14.4" customHeight="1" x14ac:dyDescent="0.3">
      <c r="A14" s="29" t="s">
        <v>52</v>
      </c>
      <c r="B14" s="29"/>
      <c r="C14" s="36">
        <f ca="1">IF(C2="MENSUAL",C3,IF(C2="QUINCENAL",C3/2,IF(C2="SEMANAL",C3/4.33,IF(C2="DIARIO",(C3*12)/365))))+(C10)+(MAX(0,C11-C8*15))+(MAX(0,(C12-C8*30)))</f>
        <v>15636.674945287097</v>
      </c>
      <c r="D14" s="36"/>
      <c r="F14" s="26"/>
      <c r="G14" s="26"/>
      <c r="H14" s="26"/>
      <c r="I14" s="26"/>
      <c r="J14" s="26"/>
      <c r="K14" s="26"/>
      <c r="L14" s="26"/>
      <c r="M14" s="26"/>
    </row>
    <row r="15" spans="1:13" x14ac:dyDescent="0.3">
      <c r="A15" s="31"/>
      <c r="B15" s="31"/>
      <c r="C15" s="31"/>
      <c r="D15" s="31"/>
      <c r="F15" s="26"/>
      <c r="G15" s="26"/>
      <c r="H15" s="26"/>
      <c r="I15" s="26"/>
      <c r="J15" s="26"/>
      <c r="K15" s="26"/>
      <c r="L15" s="26"/>
      <c r="M15" s="26"/>
    </row>
    <row r="16" spans="1:13" x14ac:dyDescent="0.3">
      <c r="A16" s="31"/>
      <c r="B16" s="31"/>
      <c r="C16" s="31"/>
      <c r="D16" s="31"/>
      <c r="F16" s="26"/>
      <c r="G16" s="26"/>
      <c r="H16" s="26"/>
      <c r="I16" s="26"/>
      <c r="J16" s="26"/>
      <c r="K16" s="26"/>
      <c r="L16" s="26"/>
      <c r="M16" s="26"/>
    </row>
    <row r="17" spans="1:13" x14ac:dyDescent="0.3">
      <c r="A17" s="30" t="s">
        <v>46</v>
      </c>
      <c r="B17" s="30"/>
      <c r="C17" s="30" t="s">
        <v>48</v>
      </c>
      <c r="D17" s="30"/>
      <c r="F17" s="26"/>
      <c r="G17" s="26"/>
      <c r="H17" s="26"/>
      <c r="I17" s="26"/>
      <c r="J17" s="26"/>
      <c r="K17" s="26"/>
      <c r="L17" s="26"/>
      <c r="M17" s="26"/>
    </row>
    <row r="18" spans="1:13" x14ac:dyDescent="0.3">
      <c r="A18" s="17" t="s">
        <v>34</v>
      </c>
      <c r="B18" s="12">
        <f ca="1">IF(C2="MENSUAL",(C14-VLOOKUP(C14,'ISR SUBSIDIO'!A42:D52,1,TRUE))*VLOOKUP(C14,'ISR SUBSIDIO'!A42:D52,4,TRUE)+VLOOKUP(C14,'ISR SUBSIDIO'!A42:D52,3,TRUE),IF(C2="QUINCENAL",(C14-VLOOKUP(C14,'ISR SUBSIDIO'!A29:D39,1,TRUE))*VLOOKUP(C14,'ISR SUBSIDIO'!A29:D39,4,TRUE)+VLOOKUP(C14,'ISR SUBSIDIO'!A29:D39,3,TRUE),IF(C2="SEMANAL",(C14-VLOOKUP(C14,'ISR SUBSIDIO'!A16:D26,1,TRUE))*VLOOKUP(C14,'ISR SUBSIDIO'!A16:D26,4,TRUE)+VLOOKUP(C14,'ISR SUBSIDIO'!A16:D26,3,TRUE),IF(C2="DIARIO",(C14-VLOOKUP(C14,'ISR SUBSIDIO'!A3:D13,1,TRUE))*VLOOKUP(C14,'ISR SUBSIDIO'!A3:D13,4,TRUE)+VLOOKUP(C14,'ISR SUBSIDIO'!A3:D13,3,TRUE)))))</f>
        <v>3416.9784835861292</v>
      </c>
      <c r="C18" s="16" t="s">
        <v>49</v>
      </c>
      <c r="D18" s="14">
        <f ca="1">C14</f>
        <v>15636.674945287097</v>
      </c>
      <c r="F18" s="26"/>
      <c r="G18" s="26"/>
      <c r="H18" s="26"/>
      <c r="I18" s="26"/>
      <c r="J18" s="26"/>
      <c r="K18" s="26"/>
      <c r="L18" s="26"/>
      <c r="M18" s="26"/>
    </row>
    <row r="19" spans="1:13" ht="14.4" customHeight="1" x14ac:dyDescent="0.3">
      <c r="A19" s="17" t="s">
        <v>47</v>
      </c>
      <c r="B19" s="15">
        <f>IF(C2="MENSUAL",(IFERROR((C6*30.4167*'CUOTAS IMSS'!D3)+(MAX(0,('ISR SUBSIDIO'!E3-C6))*30.4167*'CUOTAS IMSS'!D4)+(C6*30.4167*'CUOTAS IMSS'!D7)+(C6*30.4167*'CUOTAS IMSS'!D6)+(C6*30.4167*'CUOTAS IMSS'!D8)+(C6*30.4167*'CUOTAS IMSS'!D9),0)),IF(C2="QUINCENAL",(IFERROR((C6*30.4167*'CUOTAS IMSS'!D3)+(MAX(0,('ISR SUBSIDIO'!E3-C6))*30.4167*'CUOTAS IMSS'!D4)+(C6*30.4167*'CUOTAS IMSS'!D7)+(C6*30.4167*'CUOTAS IMSS'!D6)+(C6*30.4167*'CUOTAS IMSS'!D8)+(C6*30.4167*'CUOTAS IMSS'!D9),0))/2,IF(C2="SEMANAL",(IFERROR((C6*30.4167*'CUOTAS IMSS'!D3)+(MAX(0,('ISR SUBSIDIO'!E3-C6))*30.4167*'CUOTAS IMSS'!D4)+(C6*30.4167*'CUOTAS IMSS'!D7)+(C6*30.4167*'CUOTAS IMSS'!D6)+(C6*30.4167*'CUOTAS IMSS'!D8)+(C6*30.4167*'CUOTAS IMSS'!D9),0))/4,IF(C2="DIARIO",(IFERROR((C6*30.4167*'CUOTAS IMSS'!D3)+(MAX(0,('ISR SUBSIDIO'!E3-C6))*30.4167*'CUOTAS IMSS'!D4)+(C6*30.4167*'CUOTAS IMSS'!D7)+(C6*30.4167*'CUOTAS IMSS'!D6)+(C6*30.4167*'CUOTAS IMSS'!D8)+(C6*30.4167*'CUOTAS IMSS'!D9),0))/30.4167))))</f>
        <v>78.125</v>
      </c>
      <c r="C19" s="18" t="s">
        <v>50</v>
      </c>
      <c r="D19" s="12">
        <f>IF(C3&lt;'ISR SUBSIDIO'!O12,(IF(C2="MENSUAL",(IF('SIMULADOR NOMINA'!$C$3&lt;&gt;'ISR SUBSIDIO'!O12,'ISR SUBSIDIO'!P12,0)),(IF(C2="QUINCENAL",(IF('SIMULADOR NOMINA'!$C$3&lt;&gt;'ISR SUBSIDIO'!O13,'ISR SUBSIDIO'!P13,0)),(IF(C2="SEMANAL",(IF('SIMULADOR NOMINA'!$C$3&lt;&gt;'ISR SUBSIDIO'!O14,'ISR SUBSIDIO'!P14,0)),(IF(C2="DIARIO",(IF('SIMULADOR NOMINA'!$C$3&lt;&gt;'ISR SUBSIDIO'!O15,'ISR SUBSIDIO'!P15,0)))))))))),0)</f>
        <v>0</v>
      </c>
      <c r="F19" s="34" t="s">
        <v>53</v>
      </c>
      <c r="G19" s="34"/>
      <c r="H19" s="34"/>
      <c r="I19" s="34"/>
      <c r="J19" s="34"/>
      <c r="K19" s="34"/>
      <c r="L19" s="34"/>
      <c r="M19" s="34"/>
    </row>
    <row r="20" spans="1:13" x14ac:dyDescent="0.3">
      <c r="A20" s="16" t="s">
        <v>60</v>
      </c>
      <c r="B20" s="12">
        <f>IFERROR(((MAX(0,C6-(3*C7))*0.004)+(C6*0.0025)+(C6*0.00375)*(C6*0.00625)+(C6*0.0025))*IF(C2="MENSUAL",30.4167,IF(C2="QUINCENAL",15.20835,IF(C2="SEMANAL",7,0))),0)</f>
        <v>153.10900094612714</v>
      </c>
      <c r="C20" s="16"/>
      <c r="D20" s="13"/>
      <c r="F20" s="34"/>
      <c r="G20" s="34"/>
      <c r="H20" s="34"/>
      <c r="I20" s="34"/>
      <c r="J20" s="34"/>
      <c r="K20" s="34"/>
      <c r="L20" s="34"/>
      <c r="M20" s="34"/>
    </row>
    <row r="21" spans="1:13" x14ac:dyDescent="0.3">
      <c r="A21" s="31"/>
      <c r="B21" s="31"/>
      <c r="C21" s="31"/>
      <c r="D21" s="31"/>
      <c r="F21" s="34"/>
      <c r="G21" s="34"/>
      <c r="H21" s="34"/>
      <c r="I21" s="34"/>
      <c r="J21" s="34"/>
      <c r="K21" s="34"/>
      <c r="L21" s="34"/>
      <c r="M21" s="34"/>
    </row>
    <row r="22" spans="1:13" x14ac:dyDescent="0.3">
      <c r="A22" s="31"/>
      <c r="B22" s="31"/>
      <c r="C22" s="16" t="s">
        <v>51</v>
      </c>
      <c r="D22" s="14">
        <f ca="1">D18+D19-B18-B19</f>
        <v>12141.571461700969</v>
      </c>
      <c r="F22" s="34"/>
      <c r="G22" s="34"/>
      <c r="H22" s="34"/>
      <c r="I22" s="34"/>
      <c r="J22" s="34"/>
      <c r="K22" s="34"/>
      <c r="L22" s="34"/>
      <c r="M22" s="34"/>
    </row>
    <row r="23" spans="1:13" x14ac:dyDescent="0.3">
      <c r="A23" s="16" t="s">
        <v>59</v>
      </c>
      <c r="B23" s="31" t="str" cm="1">
        <f t="array" aca="1" ref="B23" ca="1">+PesosMN(D22)</f>
        <v>( DOCE MIL CIENTO CUARENTA Y UN PESOS 57/100 M.N.)</v>
      </c>
      <c r="C23" s="31"/>
      <c r="D23" s="31"/>
      <c r="F23" s="34"/>
      <c r="G23" s="34"/>
      <c r="H23" s="34"/>
      <c r="I23" s="34"/>
      <c r="J23" s="34"/>
      <c r="K23" s="34"/>
      <c r="L23" s="34"/>
      <c r="M23" s="34"/>
    </row>
    <row r="24" spans="1:13" x14ac:dyDescent="0.3">
      <c r="F24" s="34"/>
      <c r="G24" s="34"/>
      <c r="H24" s="34"/>
      <c r="I24" s="34"/>
      <c r="J24" s="34"/>
      <c r="K24" s="34"/>
      <c r="L24" s="34"/>
      <c r="M24" s="34"/>
    </row>
    <row r="25" spans="1:13" x14ac:dyDescent="0.3">
      <c r="F25" s="34"/>
      <c r="G25" s="34"/>
      <c r="H25" s="34"/>
      <c r="I25" s="34"/>
      <c r="J25" s="34"/>
      <c r="K25" s="34"/>
      <c r="L25" s="34"/>
      <c r="M25" s="34"/>
    </row>
    <row r="26" spans="1:13" x14ac:dyDescent="0.3">
      <c r="F26" s="34"/>
      <c r="G26" s="34"/>
      <c r="H26" s="34"/>
      <c r="I26" s="34"/>
      <c r="J26" s="34"/>
      <c r="K26" s="34"/>
      <c r="L26" s="34"/>
      <c r="M26" s="34"/>
    </row>
    <row r="27" spans="1:13" x14ac:dyDescent="0.3">
      <c r="F27" s="34"/>
      <c r="G27" s="34"/>
      <c r="H27" s="34"/>
      <c r="I27" s="34"/>
      <c r="J27" s="34"/>
      <c r="K27" s="34"/>
      <c r="L27" s="34"/>
      <c r="M27" s="34"/>
    </row>
    <row r="28" spans="1:13" x14ac:dyDescent="0.3">
      <c r="F28" s="34"/>
      <c r="G28" s="34"/>
      <c r="H28" s="34"/>
      <c r="I28" s="34"/>
      <c r="J28" s="34"/>
      <c r="K28" s="34"/>
      <c r="L28" s="34"/>
      <c r="M28" s="34"/>
    </row>
    <row r="29" spans="1:13" x14ac:dyDescent="0.3">
      <c r="F29" s="34"/>
      <c r="G29" s="34"/>
      <c r="H29" s="34"/>
      <c r="I29" s="34"/>
      <c r="J29" s="34"/>
      <c r="K29" s="34"/>
      <c r="L29" s="34"/>
      <c r="M29" s="34"/>
    </row>
    <row r="30" spans="1:13" x14ac:dyDescent="0.3">
      <c r="F30" s="34"/>
      <c r="G30" s="34"/>
      <c r="H30" s="34"/>
      <c r="I30" s="34"/>
      <c r="J30" s="34"/>
      <c r="K30" s="34"/>
      <c r="L30" s="34"/>
      <c r="M30" s="34"/>
    </row>
    <row r="31" spans="1:13" x14ac:dyDescent="0.3">
      <c r="F31" s="34"/>
      <c r="G31" s="34"/>
      <c r="H31" s="34"/>
      <c r="I31" s="34"/>
      <c r="J31" s="34"/>
      <c r="K31" s="34"/>
      <c r="L31" s="34"/>
      <c r="M31" s="34"/>
    </row>
    <row r="32" spans="1:13" x14ac:dyDescent="0.3">
      <c r="F32" s="34"/>
      <c r="G32" s="34"/>
      <c r="H32" s="34"/>
      <c r="I32" s="34"/>
      <c r="J32" s="34"/>
      <c r="K32" s="34"/>
      <c r="L32" s="34"/>
      <c r="M32" s="34"/>
    </row>
  </sheetData>
  <mergeCells count="37">
    <mergeCell ref="F19:M32"/>
    <mergeCell ref="A21:D21"/>
    <mergeCell ref="A22:B22"/>
    <mergeCell ref="C1:D1"/>
    <mergeCell ref="C2:D2"/>
    <mergeCell ref="C3:D3"/>
    <mergeCell ref="C5:D5"/>
    <mergeCell ref="C6:D6"/>
    <mergeCell ref="C7:D7"/>
    <mergeCell ref="C8:D8"/>
    <mergeCell ref="C14:D14"/>
    <mergeCell ref="A7:B7"/>
    <mergeCell ref="A8:B8"/>
    <mergeCell ref="B23:D23"/>
    <mergeCell ref="A1:B1"/>
    <mergeCell ref="A2:B2"/>
    <mergeCell ref="A3:B3"/>
    <mergeCell ref="A4:D4"/>
    <mergeCell ref="A5:B5"/>
    <mergeCell ref="A6:B6"/>
    <mergeCell ref="A15:D16"/>
    <mergeCell ref="A17:B17"/>
    <mergeCell ref="A9:B9"/>
    <mergeCell ref="A10:B10"/>
    <mergeCell ref="A11:B11"/>
    <mergeCell ref="A12:B12"/>
    <mergeCell ref="C11:D11"/>
    <mergeCell ref="C12:D12"/>
    <mergeCell ref="C9:D9"/>
    <mergeCell ref="C10:D10"/>
    <mergeCell ref="F4:M18"/>
    <mergeCell ref="F1:M1"/>
    <mergeCell ref="F2:M2"/>
    <mergeCell ref="F3:M3"/>
    <mergeCell ref="A13:D13"/>
    <mergeCell ref="A14:B14"/>
    <mergeCell ref="C17:D1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FE5900-D5E5-442C-B3AA-E823B7F897BC}">
          <x14:formula1>
            <xm:f>'ISR SUBSIDIO'!$P$2:$P$5</xm:f>
          </x14:formula1>
          <xm:sqref>C2</xm:sqref>
        </x14:dataValidation>
        <x14:dataValidation type="list" allowBlank="1" showInputMessage="1" showErrorMessage="1" xr:uid="{C5E599E5-8736-4576-9275-3D0A144E52D2}">
          <x14:formula1>
            <xm:f>Empleados!$B$3:$B$10</xm:f>
          </x14:formula1>
          <xm:sqref>C1:D1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C7870-D762-4793-8A6A-BCA4A85C0F5E}">
  <sheetPr codeName="Hoja2"/>
  <dimension ref="A1:Q54"/>
  <sheetViews>
    <sheetView topLeftCell="B1" workbookViewId="0">
      <selection activeCell="N20" sqref="N20:O20"/>
    </sheetView>
  </sheetViews>
  <sheetFormatPr baseColWidth="10" defaultRowHeight="14.4" x14ac:dyDescent="0.3"/>
  <sheetData>
    <row r="1" spans="1:17" x14ac:dyDescent="0.3">
      <c r="A1" t="s">
        <v>5</v>
      </c>
    </row>
    <row r="2" spans="1:17" x14ac:dyDescent="0.3">
      <c r="A2" s="1" t="s">
        <v>0</v>
      </c>
      <c r="B2" s="1" t="s">
        <v>1</v>
      </c>
      <c r="C2" t="s">
        <v>2</v>
      </c>
      <c r="D2" t="s">
        <v>3</v>
      </c>
      <c r="I2" t="s">
        <v>9</v>
      </c>
      <c r="J2" t="s">
        <v>10</v>
      </c>
      <c r="K2" t="s">
        <v>11</v>
      </c>
      <c r="L2" t="s">
        <v>12</v>
      </c>
      <c r="N2" t="s">
        <v>66</v>
      </c>
      <c r="P2" t="s">
        <v>35</v>
      </c>
      <c r="Q2">
        <f>Q5*24</f>
        <v>192</v>
      </c>
    </row>
    <row r="3" spans="1:17" x14ac:dyDescent="0.3">
      <c r="A3" s="1">
        <v>0.01</v>
      </c>
      <c r="B3" s="1">
        <v>24.54</v>
      </c>
      <c r="C3" s="1">
        <v>0</v>
      </c>
      <c r="D3" s="8">
        <v>1.9199999999999998E-2</v>
      </c>
      <c r="E3" s="1">
        <v>113.14</v>
      </c>
      <c r="F3" s="1">
        <v>278.8</v>
      </c>
      <c r="I3" t="s">
        <v>13</v>
      </c>
      <c r="J3">
        <v>0.01</v>
      </c>
      <c r="K3">
        <v>58.19</v>
      </c>
      <c r="L3">
        <v>13.39</v>
      </c>
      <c r="N3" t="s">
        <v>67</v>
      </c>
      <c r="P3" t="s">
        <v>36</v>
      </c>
      <c r="Q3">
        <f>Q5*12</f>
        <v>96</v>
      </c>
    </row>
    <row r="4" spans="1:17" x14ac:dyDescent="0.3">
      <c r="A4" s="1">
        <v>24.55</v>
      </c>
      <c r="B4" s="1">
        <v>208.29</v>
      </c>
      <c r="C4" s="1">
        <v>0.47</v>
      </c>
      <c r="D4" s="8">
        <v>6.4000000000000001E-2</v>
      </c>
      <c r="J4">
        <v>58.2</v>
      </c>
      <c r="K4">
        <v>87.28</v>
      </c>
      <c r="L4">
        <v>13.38</v>
      </c>
      <c r="N4" t="s">
        <v>68</v>
      </c>
      <c r="P4" t="s">
        <v>37</v>
      </c>
      <c r="Q4">
        <f>Q5*6</f>
        <v>48</v>
      </c>
    </row>
    <row r="5" spans="1:17" x14ac:dyDescent="0.3">
      <c r="A5" s="1">
        <v>208.3</v>
      </c>
      <c r="B5" s="1">
        <v>366.05</v>
      </c>
      <c r="C5" s="1">
        <v>12.23</v>
      </c>
      <c r="D5" s="8">
        <v>0.10879999999999999</v>
      </c>
      <c r="J5">
        <v>87.29</v>
      </c>
      <c r="K5">
        <v>114.24</v>
      </c>
      <c r="L5">
        <v>13.38</v>
      </c>
      <c r="N5" t="s">
        <v>69</v>
      </c>
      <c r="P5" t="s">
        <v>38</v>
      </c>
      <c r="Q5">
        <v>8</v>
      </c>
    </row>
    <row r="6" spans="1:17" x14ac:dyDescent="0.3">
      <c r="A6" s="1">
        <v>366.06</v>
      </c>
      <c r="B6" s="1">
        <v>425.52</v>
      </c>
      <c r="C6" s="1">
        <v>29.4</v>
      </c>
      <c r="D6" s="9">
        <v>0.16</v>
      </c>
      <c r="J6">
        <v>114.25</v>
      </c>
      <c r="K6">
        <v>116.38</v>
      </c>
      <c r="L6">
        <v>12.92</v>
      </c>
    </row>
    <row r="7" spans="1:17" x14ac:dyDescent="0.3">
      <c r="A7" s="1">
        <v>425.53</v>
      </c>
      <c r="B7" s="1">
        <v>509.46</v>
      </c>
      <c r="C7" s="1">
        <v>38.909999999999997</v>
      </c>
      <c r="D7" s="8">
        <v>0.1792</v>
      </c>
      <c r="J7">
        <v>116.39</v>
      </c>
      <c r="K7">
        <v>146.25</v>
      </c>
      <c r="L7">
        <v>12.58</v>
      </c>
    </row>
    <row r="8" spans="1:17" x14ac:dyDescent="0.3">
      <c r="A8" s="1">
        <v>509.47</v>
      </c>
      <c r="B8" s="1">
        <v>1027.52</v>
      </c>
      <c r="C8" s="1">
        <v>53.95</v>
      </c>
      <c r="D8" s="8">
        <v>0.21360000000000001</v>
      </c>
      <c r="J8">
        <v>146.26</v>
      </c>
      <c r="K8">
        <v>155.16999999999999</v>
      </c>
      <c r="L8">
        <v>11.65</v>
      </c>
    </row>
    <row r="9" spans="1:17" x14ac:dyDescent="0.3">
      <c r="A9" s="1">
        <v>1027.53</v>
      </c>
      <c r="B9" s="1">
        <v>1619.51</v>
      </c>
      <c r="C9" s="1">
        <v>164.61</v>
      </c>
      <c r="D9" s="8">
        <v>0.23519999999999999</v>
      </c>
      <c r="J9">
        <v>155.18</v>
      </c>
      <c r="K9">
        <v>175.51</v>
      </c>
      <c r="L9">
        <v>10.69</v>
      </c>
    </row>
    <row r="10" spans="1:17" x14ac:dyDescent="0.3">
      <c r="A10" s="1">
        <v>1619.52</v>
      </c>
      <c r="B10" s="1">
        <v>3091.9</v>
      </c>
      <c r="C10" s="1">
        <v>303.85000000000002</v>
      </c>
      <c r="D10" s="9">
        <v>0.3</v>
      </c>
      <c r="J10">
        <v>175.52</v>
      </c>
      <c r="K10">
        <v>204.76</v>
      </c>
      <c r="L10">
        <v>9.69</v>
      </c>
    </row>
    <row r="11" spans="1:17" x14ac:dyDescent="0.3">
      <c r="A11" s="1">
        <v>3091.91</v>
      </c>
      <c r="B11" s="1">
        <v>4122.54</v>
      </c>
      <c r="C11" s="1">
        <v>745.56</v>
      </c>
      <c r="D11" s="9">
        <v>0.32</v>
      </c>
      <c r="J11">
        <v>204.77</v>
      </c>
      <c r="K11">
        <v>234.01</v>
      </c>
      <c r="L11">
        <v>8.34</v>
      </c>
    </row>
    <row r="12" spans="1:17" x14ac:dyDescent="0.3">
      <c r="A12" s="1">
        <v>4122.55</v>
      </c>
      <c r="B12" s="1">
        <v>12367.62</v>
      </c>
      <c r="C12" s="1">
        <v>1075.3699999999999</v>
      </c>
      <c r="D12" s="9">
        <v>0.34</v>
      </c>
      <c r="J12">
        <v>234.02</v>
      </c>
      <c r="K12">
        <v>242.84</v>
      </c>
      <c r="L12">
        <v>7.16</v>
      </c>
      <c r="N12" t="s">
        <v>55</v>
      </c>
      <c r="O12">
        <v>10171</v>
      </c>
      <c r="P12">
        <v>474.95</v>
      </c>
    </row>
    <row r="13" spans="1:17" x14ac:dyDescent="0.3">
      <c r="A13" s="1">
        <v>12367.63</v>
      </c>
      <c r="B13" t="s">
        <v>4</v>
      </c>
      <c r="C13" s="1">
        <v>3878.69</v>
      </c>
      <c r="D13" s="9">
        <v>0.35</v>
      </c>
      <c r="J13">
        <v>242.85</v>
      </c>
      <c r="K13" t="s">
        <v>4</v>
      </c>
      <c r="L13">
        <v>0</v>
      </c>
      <c r="N13" t="s">
        <v>56</v>
      </c>
      <c r="O13">
        <f>O12/2</f>
        <v>5085.5</v>
      </c>
      <c r="P13">
        <v>234.2</v>
      </c>
    </row>
    <row r="14" spans="1:17" x14ac:dyDescent="0.3">
      <c r="A14" t="s">
        <v>6</v>
      </c>
      <c r="I14" t="s">
        <v>14</v>
      </c>
      <c r="J14">
        <v>0.01</v>
      </c>
      <c r="K14">
        <v>407.33</v>
      </c>
      <c r="L14">
        <v>93.73</v>
      </c>
      <c r="N14" t="s">
        <v>57</v>
      </c>
      <c r="O14" s="7">
        <v>2342.0100000000002</v>
      </c>
      <c r="P14">
        <v>109.29</v>
      </c>
    </row>
    <row r="15" spans="1:17" x14ac:dyDescent="0.3">
      <c r="A15" t="s">
        <v>0</v>
      </c>
      <c r="B15" t="s">
        <v>1</v>
      </c>
      <c r="C15" t="s">
        <v>2</v>
      </c>
      <c r="D15" t="s">
        <v>3</v>
      </c>
      <c r="J15">
        <v>407.34</v>
      </c>
      <c r="K15">
        <v>610.96</v>
      </c>
      <c r="L15">
        <v>93.66</v>
      </c>
      <c r="N15" t="s">
        <v>58</v>
      </c>
      <c r="O15">
        <v>334.57</v>
      </c>
      <c r="P15">
        <v>15.63</v>
      </c>
    </row>
    <row r="16" spans="1:17" x14ac:dyDescent="0.3">
      <c r="A16">
        <v>0.01</v>
      </c>
      <c r="B16">
        <v>171.78</v>
      </c>
      <c r="C16">
        <v>0</v>
      </c>
      <c r="D16" s="8">
        <v>1.9199999999999998E-2</v>
      </c>
      <c r="J16">
        <v>610.97</v>
      </c>
      <c r="K16">
        <v>799.68</v>
      </c>
      <c r="L16">
        <v>93.66</v>
      </c>
      <c r="P16">
        <v>0</v>
      </c>
    </row>
    <row r="17" spans="1:16" x14ac:dyDescent="0.3">
      <c r="A17">
        <v>171.79</v>
      </c>
      <c r="B17" s="1">
        <v>1458.03</v>
      </c>
      <c r="C17">
        <v>3.29</v>
      </c>
      <c r="D17" s="8">
        <v>6.4000000000000001E-2</v>
      </c>
      <c r="J17">
        <v>799.69</v>
      </c>
      <c r="K17">
        <v>814.66</v>
      </c>
      <c r="L17">
        <v>90.44</v>
      </c>
    </row>
    <row r="18" spans="1:16" x14ac:dyDescent="0.3">
      <c r="A18" s="1">
        <v>1458.04</v>
      </c>
      <c r="B18" s="1">
        <v>2562.35</v>
      </c>
      <c r="C18">
        <v>85.61</v>
      </c>
      <c r="D18" s="8">
        <v>0.10879999999999999</v>
      </c>
      <c r="J18">
        <v>814.67</v>
      </c>
      <c r="K18" s="1">
        <v>1023.75</v>
      </c>
      <c r="L18">
        <v>88.06</v>
      </c>
      <c r="N18" s="31" t="s">
        <v>63</v>
      </c>
      <c r="O18" s="31"/>
      <c r="P18" s="31"/>
    </row>
    <row r="19" spans="1:16" x14ac:dyDescent="0.3">
      <c r="A19" s="1">
        <v>2562.36</v>
      </c>
      <c r="B19" s="1">
        <v>2978.64</v>
      </c>
      <c r="C19">
        <v>205.8</v>
      </c>
      <c r="D19" s="9">
        <v>0.16</v>
      </c>
      <c r="J19" s="1">
        <v>1023.76</v>
      </c>
      <c r="K19" s="1">
        <v>1086.19</v>
      </c>
      <c r="L19">
        <v>81.55</v>
      </c>
      <c r="N19" s="31" t="s">
        <v>64</v>
      </c>
      <c r="O19" s="31"/>
      <c r="P19" s="19" t="s">
        <v>65</v>
      </c>
    </row>
    <row r="20" spans="1:16" x14ac:dyDescent="0.3">
      <c r="A20" s="1">
        <v>2978.65</v>
      </c>
      <c r="B20" s="1">
        <v>3566.22</v>
      </c>
      <c r="C20">
        <v>272.37</v>
      </c>
      <c r="D20" s="8">
        <v>0.1792</v>
      </c>
      <c r="J20" s="1">
        <v>1086.2</v>
      </c>
      <c r="K20" s="1">
        <v>1228.57</v>
      </c>
      <c r="L20">
        <v>74.83</v>
      </c>
      <c r="N20" s="31">
        <v>1</v>
      </c>
      <c r="O20" s="31"/>
      <c r="P20" s="13">
        <v>12</v>
      </c>
    </row>
    <row r="21" spans="1:16" x14ac:dyDescent="0.3">
      <c r="A21" s="1">
        <v>3566.23</v>
      </c>
      <c r="B21" s="1">
        <v>7192.64</v>
      </c>
      <c r="C21">
        <v>377.65</v>
      </c>
      <c r="D21" s="8">
        <v>0.21360000000000001</v>
      </c>
      <c r="J21" s="1">
        <v>1228.58</v>
      </c>
      <c r="K21" s="1">
        <v>1433.32</v>
      </c>
      <c r="L21">
        <v>67.83</v>
      </c>
      <c r="N21" s="31">
        <v>2</v>
      </c>
      <c r="O21" s="31"/>
      <c r="P21" s="13">
        <v>14</v>
      </c>
    </row>
    <row r="22" spans="1:16" x14ac:dyDescent="0.3">
      <c r="A22" s="1">
        <v>7192.65</v>
      </c>
      <c r="B22" s="1">
        <v>11336.57</v>
      </c>
      <c r="C22" s="1">
        <v>1152.27</v>
      </c>
      <c r="D22" s="8">
        <v>0.23519999999999999</v>
      </c>
      <c r="J22" s="1">
        <v>1433.33</v>
      </c>
      <c r="K22" s="1">
        <v>1638.07</v>
      </c>
      <c r="L22">
        <v>58.38</v>
      </c>
      <c r="N22" s="31">
        <v>3</v>
      </c>
      <c r="O22" s="31"/>
      <c r="P22" s="13">
        <v>16</v>
      </c>
    </row>
    <row r="23" spans="1:16" x14ac:dyDescent="0.3">
      <c r="A23" s="1">
        <v>11336.58</v>
      </c>
      <c r="B23" s="1">
        <v>21643.3</v>
      </c>
      <c r="C23" s="1">
        <v>2126.9499999999998</v>
      </c>
      <c r="D23" s="9">
        <v>0.3</v>
      </c>
      <c r="J23" s="1">
        <v>1638.08</v>
      </c>
      <c r="K23" s="1">
        <v>1699.88</v>
      </c>
      <c r="L23">
        <v>50.12</v>
      </c>
      <c r="N23" s="31">
        <v>4</v>
      </c>
      <c r="O23" s="31"/>
      <c r="P23" s="13">
        <v>18</v>
      </c>
    </row>
    <row r="24" spans="1:16" x14ac:dyDescent="0.3">
      <c r="A24" s="1">
        <v>21643.31</v>
      </c>
      <c r="B24" s="1">
        <v>28857.78</v>
      </c>
      <c r="C24" s="1">
        <v>5218.92</v>
      </c>
      <c r="D24" s="9">
        <v>0.32</v>
      </c>
      <c r="J24" s="1">
        <v>1699.89</v>
      </c>
      <c r="K24" t="s">
        <v>4</v>
      </c>
      <c r="L24">
        <v>0</v>
      </c>
      <c r="N24" s="31">
        <v>5</v>
      </c>
      <c r="O24" s="31"/>
      <c r="P24" s="13">
        <v>20</v>
      </c>
    </row>
    <row r="25" spans="1:16" x14ac:dyDescent="0.3">
      <c r="A25" s="1">
        <v>28857.79</v>
      </c>
      <c r="B25" s="1">
        <v>86573.34</v>
      </c>
      <c r="C25" s="1">
        <v>7527.59</v>
      </c>
      <c r="D25" s="9">
        <v>0.34</v>
      </c>
      <c r="I25" t="s">
        <v>15</v>
      </c>
      <c r="J25">
        <v>0.01</v>
      </c>
      <c r="K25">
        <v>872.85</v>
      </c>
      <c r="L25">
        <v>200.85</v>
      </c>
      <c r="N25" s="31">
        <v>6</v>
      </c>
      <c r="O25" s="31"/>
      <c r="P25" s="13">
        <v>22</v>
      </c>
    </row>
    <row r="26" spans="1:16" x14ac:dyDescent="0.3">
      <c r="A26" s="1">
        <v>86573.35</v>
      </c>
      <c r="B26" t="s">
        <v>4</v>
      </c>
      <c r="C26" s="1">
        <v>27150.83</v>
      </c>
      <c r="D26" s="9">
        <v>0.35</v>
      </c>
      <c r="J26">
        <v>872.86</v>
      </c>
      <c r="K26" s="1">
        <v>1309.2</v>
      </c>
      <c r="L26">
        <v>200.7</v>
      </c>
      <c r="N26" s="31">
        <v>7</v>
      </c>
      <c r="O26" s="31"/>
      <c r="P26" s="13">
        <v>22</v>
      </c>
    </row>
    <row r="27" spans="1:16" x14ac:dyDescent="0.3">
      <c r="A27" t="s">
        <v>7</v>
      </c>
      <c r="J27" s="1">
        <v>1309.21</v>
      </c>
      <c r="K27" s="1">
        <v>1713.6</v>
      </c>
      <c r="L27">
        <v>200.7</v>
      </c>
      <c r="N27" s="31">
        <v>8</v>
      </c>
      <c r="O27" s="31"/>
      <c r="P27" s="13">
        <v>22</v>
      </c>
    </row>
    <row r="28" spans="1:16" x14ac:dyDescent="0.3">
      <c r="A28" t="s">
        <v>0</v>
      </c>
      <c r="B28" t="s">
        <v>1</v>
      </c>
      <c r="C28" t="s">
        <v>2</v>
      </c>
      <c r="D28" t="s">
        <v>3</v>
      </c>
      <c r="J28" s="1">
        <v>1713.61</v>
      </c>
      <c r="K28" s="1">
        <v>1745.7</v>
      </c>
      <c r="L28">
        <v>193.8</v>
      </c>
      <c r="N28" s="31">
        <v>9</v>
      </c>
      <c r="O28" s="31"/>
      <c r="P28" s="13">
        <v>22</v>
      </c>
    </row>
    <row r="29" spans="1:16" x14ac:dyDescent="0.3">
      <c r="A29">
        <v>0.01</v>
      </c>
      <c r="B29">
        <v>368.1</v>
      </c>
      <c r="C29">
        <v>0</v>
      </c>
      <c r="D29" s="8">
        <v>1.9199999999999998E-2</v>
      </c>
      <c r="J29" s="1">
        <v>1745.71</v>
      </c>
      <c r="K29" s="1">
        <v>2193.75</v>
      </c>
      <c r="L29">
        <v>188.7</v>
      </c>
      <c r="N29" s="31">
        <v>10</v>
      </c>
      <c r="O29" s="31"/>
      <c r="P29" s="13">
        <v>22</v>
      </c>
    </row>
    <row r="30" spans="1:16" x14ac:dyDescent="0.3">
      <c r="A30">
        <v>368.11</v>
      </c>
      <c r="B30" s="1">
        <v>3124.35</v>
      </c>
      <c r="C30">
        <v>7.05</v>
      </c>
      <c r="D30" s="8">
        <v>6.4000000000000001E-2</v>
      </c>
      <c r="J30" s="1">
        <v>2193.7600000000002</v>
      </c>
      <c r="K30" s="1">
        <v>2327.5500000000002</v>
      </c>
      <c r="L30">
        <v>174.75</v>
      </c>
      <c r="N30" s="31">
        <v>11</v>
      </c>
      <c r="O30" s="31"/>
      <c r="P30" s="13">
        <v>24</v>
      </c>
    </row>
    <row r="31" spans="1:16" x14ac:dyDescent="0.3">
      <c r="A31" s="1">
        <v>3124.36</v>
      </c>
      <c r="B31" s="1">
        <v>5490.75</v>
      </c>
      <c r="C31">
        <v>183.45</v>
      </c>
      <c r="D31" s="8">
        <v>0.10879999999999999</v>
      </c>
      <c r="J31" s="1">
        <v>2327.56</v>
      </c>
      <c r="K31" s="1">
        <v>2632.65</v>
      </c>
      <c r="L31">
        <v>160.35</v>
      </c>
      <c r="N31" s="31">
        <v>12</v>
      </c>
      <c r="O31" s="31"/>
      <c r="P31" s="13">
        <v>24</v>
      </c>
    </row>
    <row r="32" spans="1:16" x14ac:dyDescent="0.3">
      <c r="A32" s="1">
        <v>5490.76</v>
      </c>
      <c r="B32" s="1">
        <v>6382.8</v>
      </c>
      <c r="C32">
        <v>441</v>
      </c>
      <c r="D32" s="9">
        <v>0.16</v>
      </c>
      <c r="J32" s="1">
        <v>2632.66</v>
      </c>
      <c r="K32" s="1">
        <v>3071.4</v>
      </c>
      <c r="L32">
        <v>145.35</v>
      </c>
      <c r="N32" s="31">
        <v>13</v>
      </c>
      <c r="O32" s="31"/>
      <c r="P32" s="13">
        <v>24</v>
      </c>
    </row>
    <row r="33" spans="1:16" x14ac:dyDescent="0.3">
      <c r="A33" s="1">
        <v>6382.81</v>
      </c>
      <c r="B33" s="1">
        <v>7641.9</v>
      </c>
      <c r="C33">
        <v>583.65</v>
      </c>
      <c r="D33" s="8">
        <v>0.1792</v>
      </c>
      <c r="J33" s="1">
        <v>3071.41</v>
      </c>
      <c r="K33" s="1">
        <v>3510.15</v>
      </c>
      <c r="L33">
        <v>125.1</v>
      </c>
      <c r="N33" s="31">
        <v>14</v>
      </c>
      <c r="O33" s="31"/>
      <c r="P33" s="13">
        <v>24</v>
      </c>
    </row>
    <row r="34" spans="1:16" x14ac:dyDescent="0.3">
      <c r="A34" s="1">
        <v>7641.91</v>
      </c>
      <c r="B34" s="1">
        <v>15412.8</v>
      </c>
      <c r="C34">
        <v>809.25</v>
      </c>
      <c r="D34" s="8">
        <v>0.21360000000000001</v>
      </c>
      <c r="J34" s="1">
        <v>3510.16</v>
      </c>
      <c r="K34" s="1">
        <v>3642.6</v>
      </c>
      <c r="L34">
        <v>107.4</v>
      </c>
      <c r="N34" s="31">
        <v>15</v>
      </c>
      <c r="O34" s="31"/>
      <c r="P34" s="13">
        <v>24</v>
      </c>
    </row>
    <row r="35" spans="1:16" x14ac:dyDescent="0.3">
      <c r="A35" s="1">
        <v>15412.81</v>
      </c>
      <c r="B35" s="1">
        <v>24292.65</v>
      </c>
      <c r="C35" s="1">
        <v>2469.15</v>
      </c>
      <c r="D35" s="8">
        <v>0.23519999999999999</v>
      </c>
      <c r="J35" s="1">
        <v>3642.61</v>
      </c>
      <c r="K35" t="s">
        <v>4</v>
      </c>
      <c r="L35">
        <v>0</v>
      </c>
      <c r="N35" s="31">
        <v>16</v>
      </c>
      <c r="O35" s="31"/>
      <c r="P35" s="13">
        <v>26</v>
      </c>
    </row>
    <row r="36" spans="1:16" x14ac:dyDescent="0.3">
      <c r="A36" s="1">
        <v>24292.66</v>
      </c>
      <c r="B36" s="1">
        <v>46378.5</v>
      </c>
      <c r="C36" s="1">
        <v>4557.75</v>
      </c>
      <c r="D36" s="9">
        <v>0.3</v>
      </c>
      <c r="I36" t="s">
        <v>16</v>
      </c>
      <c r="J36">
        <v>0.01</v>
      </c>
      <c r="K36" s="1">
        <v>1768.96</v>
      </c>
      <c r="L36">
        <v>407.02</v>
      </c>
      <c r="N36" s="31">
        <v>17</v>
      </c>
      <c r="O36" s="31"/>
      <c r="P36" s="13">
        <v>26</v>
      </c>
    </row>
    <row r="37" spans="1:16" x14ac:dyDescent="0.3">
      <c r="A37" s="1">
        <v>46378.51</v>
      </c>
      <c r="B37" s="1">
        <v>61838.1</v>
      </c>
      <c r="C37" s="1">
        <v>11183.4</v>
      </c>
      <c r="D37" s="9">
        <v>0.32</v>
      </c>
      <c r="J37" s="1">
        <v>1768.97</v>
      </c>
      <c r="K37" s="1">
        <v>2653.38</v>
      </c>
      <c r="L37">
        <v>406.83</v>
      </c>
      <c r="N37" s="31">
        <v>18</v>
      </c>
      <c r="O37" s="31"/>
      <c r="P37" s="13">
        <v>26</v>
      </c>
    </row>
    <row r="38" spans="1:16" x14ac:dyDescent="0.3">
      <c r="A38" s="1">
        <v>61838.11</v>
      </c>
      <c r="B38" s="1">
        <v>185514.3</v>
      </c>
      <c r="C38" s="1">
        <v>16130.55</v>
      </c>
      <c r="D38" s="9">
        <v>0.34</v>
      </c>
      <c r="J38" s="1">
        <v>2653.39</v>
      </c>
      <c r="K38" s="1">
        <v>3472.84</v>
      </c>
      <c r="L38">
        <v>406.62</v>
      </c>
      <c r="N38" s="31">
        <v>19</v>
      </c>
      <c r="O38" s="31"/>
      <c r="P38" s="13">
        <v>26</v>
      </c>
    </row>
    <row r="39" spans="1:16" x14ac:dyDescent="0.3">
      <c r="A39" s="1">
        <v>185514.31</v>
      </c>
      <c r="B39" t="s">
        <v>4</v>
      </c>
      <c r="C39" s="1">
        <v>58180.35</v>
      </c>
      <c r="D39" s="9">
        <v>0.35</v>
      </c>
      <c r="J39" s="1">
        <v>3472.85</v>
      </c>
      <c r="K39" s="1">
        <v>3537.87</v>
      </c>
      <c r="L39">
        <v>392.77</v>
      </c>
      <c r="N39" s="31">
        <v>20</v>
      </c>
      <c r="O39" s="31"/>
      <c r="P39" s="13">
        <v>26</v>
      </c>
    </row>
    <row r="40" spans="1:16" x14ac:dyDescent="0.3">
      <c r="A40" t="s">
        <v>8</v>
      </c>
      <c r="J40" s="1">
        <v>3537.88</v>
      </c>
      <c r="K40" s="1">
        <v>4446.1499999999996</v>
      </c>
      <c r="L40">
        <v>382.46</v>
      </c>
      <c r="N40" s="31">
        <v>21</v>
      </c>
      <c r="O40" s="31"/>
      <c r="P40" s="13">
        <v>28</v>
      </c>
    </row>
    <row r="41" spans="1:16" x14ac:dyDescent="0.3">
      <c r="A41" t="s">
        <v>0</v>
      </c>
      <c r="B41" t="s">
        <v>1</v>
      </c>
      <c r="C41" t="s">
        <v>2</v>
      </c>
      <c r="D41" t="s">
        <v>3</v>
      </c>
      <c r="J41" s="1">
        <v>4446.16</v>
      </c>
      <c r="K41" s="1">
        <v>4717.18</v>
      </c>
      <c r="L41">
        <v>354.23</v>
      </c>
      <c r="N41" s="31">
        <v>22</v>
      </c>
      <c r="O41" s="31"/>
      <c r="P41" s="13">
        <v>28</v>
      </c>
    </row>
    <row r="42" spans="1:16" x14ac:dyDescent="0.3">
      <c r="A42">
        <v>0.01</v>
      </c>
      <c r="B42">
        <v>746.04</v>
      </c>
      <c r="C42">
        <v>0</v>
      </c>
      <c r="D42" s="8">
        <v>1.9199999999999998E-2</v>
      </c>
      <c r="J42" s="1">
        <v>4717.1899999999996</v>
      </c>
      <c r="K42" s="1">
        <v>5335.42</v>
      </c>
      <c r="L42">
        <v>324.87</v>
      </c>
      <c r="N42" s="31">
        <v>23</v>
      </c>
      <c r="O42" s="31"/>
      <c r="P42" s="13">
        <v>28</v>
      </c>
    </row>
    <row r="43" spans="1:16" x14ac:dyDescent="0.3">
      <c r="A43">
        <v>746.05</v>
      </c>
      <c r="B43" s="1">
        <v>6332.05</v>
      </c>
      <c r="C43">
        <v>14.32</v>
      </c>
      <c r="D43" s="8">
        <v>6.4000000000000001E-2</v>
      </c>
      <c r="J43" s="1">
        <v>5335.43</v>
      </c>
      <c r="K43" s="1">
        <v>6224.67</v>
      </c>
      <c r="L43">
        <v>294.63</v>
      </c>
      <c r="N43" s="31">
        <v>24</v>
      </c>
      <c r="O43" s="31"/>
      <c r="P43" s="13">
        <v>28</v>
      </c>
    </row>
    <row r="44" spans="1:16" x14ac:dyDescent="0.3">
      <c r="A44" s="1">
        <v>6332.06</v>
      </c>
      <c r="B44" s="1">
        <v>11128.01</v>
      </c>
      <c r="C44">
        <v>371.83</v>
      </c>
      <c r="D44" s="8">
        <v>0.10879999999999999</v>
      </c>
      <c r="J44" s="1">
        <v>6224.68</v>
      </c>
      <c r="K44" s="1">
        <v>7113.9</v>
      </c>
      <c r="L44">
        <v>253.54</v>
      </c>
      <c r="N44" s="31">
        <v>25</v>
      </c>
      <c r="O44" s="31"/>
      <c r="P44" s="13">
        <v>28</v>
      </c>
    </row>
    <row r="45" spans="1:16" x14ac:dyDescent="0.3">
      <c r="A45" s="1">
        <v>11128.02</v>
      </c>
      <c r="B45" s="1">
        <v>12935.82</v>
      </c>
      <c r="C45">
        <v>893.63</v>
      </c>
      <c r="D45" s="9">
        <v>0.16</v>
      </c>
      <c r="J45" s="1">
        <v>7113.91</v>
      </c>
      <c r="K45" s="1">
        <v>7382.33</v>
      </c>
      <c r="L45">
        <v>217.61</v>
      </c>
      <c r="N45" s="31">
        <v>26</v>
      </c>
      <c r="O45" s="31"/>
      <c r="P45" s="13">
        <v>30</v>
      </c>
    </row>
    <row r="46" spans="1:16" x14ac:dyDescent="0.3">
      <c r="A46" s="1">
        <v>12935.83</v>
      </c>
      <c r="B46" s="1">
        <v>15487.71</v>
      </c>
      <c r="C46" s="1">
        <v>1182.8800000000001</v>
      </c>
      <c r="D46" s="8">
        <v>0.1792</v>
      </c>
      <c r="J46" s="1">
        <v>7382.34</v>
      </c>
      <c r="K46" t="s">
        <v>4</v>
      </c>
      <c r="L46">
        <v>0</v>
      </c>
      <c r="N46" s="31">
        <v>27</v>
      </c>
      <c r="O46" s="31"/>
      <c r="P46" s="13">
        <v>30</v>
      </c>
    </row>
    <row r="47" spans="1:16" x14ac:dyDescent="0.3">
      <c r="A47" s="1">
        <v>15487.72</v>
      </c>
      <c r="B47" s="1">
        <v>31236.49</v>
      </c>
      <c r="C47" s="1">
        <v>1640.18</v>
      </c>
      <c r="D47" s="8">
        <v>0.21360000000000001</v>
      </c>
      <c r="N47" s="31">
        <v>28</v>
      </c>
      <c r="O47" s="31"/>
      <c r="P47" s="13">
        <v>30</v>
      </c>
    </row>
    <row r="48" spans="1:16" x14ac:dyDescent="0.3">
      <c r="A48" s="1">
        <v>31236.5</v>
      </c>
      <c r="B48" s="1">
        <v>49233</v>
      </c>
      <c r="C48" s="1">
        <v>5004.12</v>
      </c>
      <c r="D48" s="8">
        <v>0.23519999999999999</v>
      </c>
      <c r="N48" s="31">
        <v>29</v>
      </c>
      <c r="O48" s="31"/>
      <c r="P48" s="13">
        <v>30</v>
      </c>
    </row>
    <row r="49" spans="1:16" x14ac:dyDescent="0.3">
      <c r="A49" s="1">
        <v>49233.01</v>
      </c>
      <c r="B49" s="1">
        <v>93993.9</v>
      </c>
      <c r="C49" s="1">
        <v>9236.89</v>
      </c>
      <c r="D49" s="9">
        <v>0.3</v>
      </c>
      <c r="N49" s="31">
        <v>30</v>
      </c>
      <c r="O49" s="31"/>
      <c r="P49" s="13">
        <v>30</v>
      </c>
    </row>
    <row r="50" spans="1:16" x14ac:dyDescent="0.3">
      <c r="A50" s="1">
        <v>93993.91</v>
      </c>
      <c r="B50" s="1">
        <v>125325.2</v>
      </c>
      <c r="C50" s="1">
        <v>22665.17</v>
      </c>
      <c r="D50" s="9">
        <v>0.32</v>
      </c>
      <c r="N50" s="31">
        <v>31</v>
      </c>
      <c r="O50" s="31"/>
      <c r="P50" s="13">
        <v>32</v>
      </c>
    </row>
    <row r="51" spans="1:16" x14ac:dyDescent="0.3">
      <c r="A51" s="1">
        <v>125325.21</v>
      </c>
      <c r="B51" s="1">
        <v>375975.61</v>
      </c>
      <c r="C51" s="1">
        <v>32691.18</v>
      </c>
      <c r="D51" s="9">
        <v>0.34</v>
      </c>
      <c r="N51" s="31">
        <v>32</v>
      </c>
      <c r="O51" s="31"/>
      <c r="P51" s="13">
        <v>32</v>
      </c>
    </row>
    <row r="52" spans="1:16" x14ac:dyDescent="0.3">
      <c r="A52" s="1">
        <v>375975.62</v>
      </c>
      <c r="B52" t="s">
        <v>4</v>
      </c>
      <c r="C52" s="1">
        <v>117912.32000000001</v>
      </c>
      <c r="D52" s="9">
        <v>0.35</v>
      </c>
      <c r="N52" s="31">
        <v>33</v>
      </c>
      <c r="O52" s="31"/>
      <c r="P52" s="13">
        <v>32</v>
      </c>
    </row>
    <row r="53" spans="1:16" x14ac:dyDescent="0.3">
      <c r="N53" s="31">
        <v>34</v>
      </c>
      <c r="O53" s="31"/>
      <c r="P53" s="13">
        <v>32</v>
      </c>
    </row>
    <row r="54" spans="1:16" x14ac:dyDescent="0.3">
      <c r="N54" s="31">
        <v>35</v>
      </c>
      <c r="O54" s="31"/>
      <c r="P54" s="13">
        <v>32</v>
      </c>
    </row>
  </sheetData>
  <mergeCells count="37">
    <mergeCell ref="N53:O53"/>
    <mergeCell ref="N54:O54"/>
    <mergeCell ref="N47:O47"/>
    <mergeCell ref="N48:O48"/>
    <mergeCell ref="N49:O49"/>
    <mergeCell ref="N50:O50"/>
    <mergeCell ref="N51:O51"/>
    <mergeCell ref="N52:O52"/>
    <mergeCell ref="N46:O46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N44:O44"/>
    <mergeCell ref="N45:O45"/>
    <mergeCell ref="N30:O30"/>
    <mergeCell ref="N31:O31"/>
    <mergeCell ref="N32:O32"/>
    <mergeCell ref="N33:O33"/>
    <mergeCell ref="N34:O34"/>
    <mergeCell ref="N29:O29"/>
    <mergeCell ref="N18:P18"/>
    <mergeCell ref="N19:O19"/>
    <mergeCell ref="N20:O20"/>
    <mergeCell ref="N21:O21"/>
    <mergeCell ref="N22:O22"/>
    <mergeCell ref="N23:O23"/>
    <mergeCell ref="N24:O24"/>
    <mergeCell ref="N25:O25"/>
    <mergeCell ref="N26:O26"/>
    <mergeCell ref="N27:O27"/>
    <mergeCell ref="N28:O2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BF1AB-E568-4BDC-8FC6-10317E9CB595}">
  <sheetPr codeName="Hoja3"/>
  <dimension ref="A1:K52"/>
  <sheetViews>
    <sheetView workbookViewId="0">
      <selection activeCell="D7" sqref="D7"/>
    </sheetView>
  </sheetViews>
  <sheetFormatPr baseColWidth="10" defaultRowHeight="14.4" x14ac:dyDescent="0.3"/>
  <sheetData>
    <row r="1" spans="1:5" ht="28.8" x14ac:dyDescent="0.3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</row>
    <row r="2" spans="1:5" ht="28.8" x14ac:dyDescent="0.3">
      <c r="A2" s="4" t="s">
        <v>22</v>
      </c>
      <c r="B2" s="2" t="s">
        <v>23</v>
      </c>
      <c r="C2" s="5"/>
      <c r="D2" s="10">
        <v>0</v>
      </c>
      <c r="E2" s="2" t="s">
        <v>24</v>
      </c>
    </row>
    <row r="3" spans="1:5" ht="57.6" x14ac:dyDescent="0.3">
      <c r="A3" s="4" t="s">
        <v>25</v>
      </c>
      <c r="B3" s="2" t="s">
        <v>26</v>
      </c>
      <c r="C3" s="2">
        <v>20.399999999999999</v>
      </c>
      <c r="D3" s="10">
        <v>0</v>
      </c>
      <c r="E3" s="2">
        <v>20.399999999999999</v>
      </c>
    </row>
    <row r="4" spans="1:5" ht="43.2" customHeight="1" x14ac:dyDescent="0.3">
      <c r="A4" s="4" t="s">
        <v>27</v>
      </c>
      <c r="B4" s="6" t="s">
        <v>28</v>
      </c>
      <c r="C4" s="2">
        <v>1.1000000000000001</v>
      </c>
      <c r="D4" s="11">
        <v>4.0000000000000001E-3</v>
      </c>
      <c r="E4" s="2">
        <v>1.5</v>
      </c>
    </row>
    <row r="5" spans="1:5" x14ac:dyDescent="0.3">
      <c r="A5" s="4"/>
      <c r="B5" s="6"/>
      <c r="C5" s="2"/>
      <c r="D5" s="2"/>
      <c r="E5" s="2"/>
    </row>
    <row r="6" spans="1:5" ht="43.2" x14ac:dyDescent="0.3">
      <c r="A6" s="4" t="s">
        <v>29</v>
      </c>
      <c r="B6" s="2" t="s">
        <v>23</v>
      </c>
      <c r="C6" s="2">
        <v>1.05</v>
      </c>
      <c r="D6" s="11">
        <v>3.7499999999999999E-3</v>
      </c>
      <c r="E6" s="2">
        <v>1.425</v>
      </c>
    </row>
    <row r="7" spans="1:5" ht="57.6" x14ac:dyDescent="0.3">
      <c r="A7" s="4" t="s">
        <v>30</v>
      </c>
      <c r="B7" s="2" t="s">
        <v>23</v>
      </c>
      <c r="C7" s="2">
        <v>0.7</v>
      </c>
      <c r="D7" s="11">
        <v>2.5000000000000001E-3</v>
      </c>
      <c r="E7" s="2">
        <v>0.95</v>
      </c>
    </row>
    <row r="8" spans="1:5" ht="28.8" x14ac:dyDescent="0.3">
      <c r="A8" s="4" t="s">
        <v>31</v>
      </c>
      <c r="B8" s="2" t="s">
        <v>23</v>
      </c>
      <c r="C8" s="2">
        <v>1.75</v>
      </c>
      <c r="D8" s="11">
        <v>6.2500000000000003E-3</v>
      </c>
      <c r="E8" s="2">
        <v>2.375</v>
      </c>
    </row>
    <row r="9" spans="1:5" ht="43.2" x14ac:dyDescent="0.3">
      <c r="A9" s="4" t="s">
        <v>32</v>
      </c>
      <c r="B9" s="2" t="s">
        <v>23</v>
      </c>
      <c r="C9" s="2">
        <v>1</v>
      </c>
      <c r="D9" s="10">
        <v>0</v>
      </c>
      <c r="E9" s="2">
        <v>1</v>
      </c>
    </row>
    <row r="10" spans="1:5" ht="28.8" x14ac:dyDescent="0.3">
      <c r="A10" s="4" t="s">
        <v>33</v>
      </c>
      <c r="B10" s="2" t="s">
        <v>23</v>
      </c>
      <c r="C10" s="2">
        <v>5</v>
      </c>
      <c r="D10" s="10">
        <v>0</v>
      </c>
      <c r="E10" s="2">
        <v>5</v>
      </c>
    </row>
    <row r="11" spans="1:5" x14ac:dyDescent="0.3">
      <c r="A11" s="1"/>
      <c r="B11" s="1"/>
      <c r="C11" s="1"/>
    </row>
    <row r="12" spans="1:5" x14ac:dyDescent="0.3">
      <c r="A12" s="1"/>
      <c r="B12" s="1"/>
      <c r="C12" s="1"/>
    </row>
    <row r="13" spans="1:5" x14ac:dyDescent="0.3">
      <c r="A13" s="1"/>
      <c r="C13" s="1"/>
    </row>
    <row r="17" spans="1:11" x14ac:dyDescent="0.3">
      <c r="B17" s="1"/>
    </row>
    <row r="18" spans="1:11" x14ac:dyDescent="0.3">
      <c r="A18" s="1"/>
      <c r="B18" s="1"/>
      <c r="K18" s="1"/>
    </row>
    <row r="19" spans="1:11" x14ac:dyDescent="0.3">
      <c r="A19" s="1"/>
      <c r="B19" s="1"/>
      <c r="J19" s="1"/>
      <c r="K19" s="1"/>
    </row>
    <row r="20" spans="1:11" x14ac:dyDescent="0.3">
      <c r="A20" s="1"/>
      <c r="B20" s="1"/>
      <c r="J20" s="1"/>
      <c r="K20" s="1"/>
    </row>
    <row r="21" spans="1:11" x14ac:dyDescent="0.3">
      <c r="A21" s="1"/>
      <c r="B21" s="1"/>
      <c r="J21" s="1"/>
      <c r="K21" s="1"/>
    </row>
    <row r="22" spans="1:11" x14ac:dyDescent="0.3">
      <c r="A22" s="1"/>
      <c r="B22" s="1"/>
      <c r="C22" s="1"/>
      <c r="J22" s="1"/>
      <c r="K22" s="1"/>
    </row>
    <row r="23" spans="1:11" x14ac:dyDescent="0.3">
      <c r="A23" s="1"/>
      <c r="B23" s="1"/>
      <c r="C23" s="1"/>
      <c r="J23" s="1"/>
      <c r="K23" s="1"/>
    </row>
    <row r="24" spans="1:11" x14ac:dyDescent="0.3">
      <c r="A24" s="1"/>
      <c r="B24" s="1"/>
      <c r="C24" s="1"/>
      <c r="J24" s="1"/>
    </row>
    <row r="25" spans="1:11" x14ac:dyDescent="0.3">
      <c r="A25" s="1"/>
      <c r="B25" s="1"/>
      <c r="C25" s="1"/>
    </row>
    <row r="26" spans="1:11" x14ac:dyDescent="0.3">
      <c r="A26" s="1"/>
      <c r="C26" s="1"/>
      <c r="K26" s="1"/>
    </row>
    <row r="27" spans="1:11" x14ac:dyDescent="0.3">
      <c r="J27" s="1"/>
      <c r="K27" s="1"/>
    </row>
    <row r="28" spans="1:11" x14ac:dyDescent="0.3">
      <c r="J28" s="1"/>
      <c r="K28" s="1"/>
    </row>
    <row r="29" spans="1:11" x14ac:dyDescent="0.3">
      <c r="J29" s="1"/>
      <c r="K29" s="1"/>
    </row>
    <row r="30" spans="1:11" x14ac:dyDescent="0.3">
      <c r="B30" s="1"/>
      <c r="J30" s="1"/>
      <c r="K30" s="1"/>
    </row>
    <row r="31" spans="1:11" x14ac:dyDescent="0.3">
      <c r="A31" s="1"/>
      <c r="B31" s="1"/>
      <c r="J31" s="1"/>
      <c r="K31" s="1"/>
    </row>
    <row r="32" spans="1:11" x14ac:dyDescent="0.3">
      <c r="A32" s="1"/>
      <c r="B32" s="1"/>
      <c r="J32" s="1"/>
      <c r="K32" s="1"/>
    </row>
    <row r="33" spans="1:11" x14ac:dyDescent="0.3">
      <c r="A33" s="1"/>
      <c r="B33" s="1"/>
      <c r="J33" s="1"/>
      <c r="K33" s="1"/>
    </row>
    <row r="34" spans="1:11" x14ac:dyDescent="0.3">
      <c r="A34" s="1"/>
      <c r="B34" s="1"/>
      <c r="J34" s="1"/>
      <c r="K34" s="1"/>
    </row>
    <row r="35" spans="1:11" x14ac:dyDescent="0.3">
      <c r="A35" s="1"/>
      <c r="B35" s="1"/>
      <c r="C35" s="1"/>
      <c r="J35" s="1"/>
    </row>
    <row r="36" spans="1:11" x14ac:dyDescent="0.3">
      <c r="A36" s="1"/>
      <c r="B36" s="1"/>
      <c r="C36" s="1"/>
      <c r="K36" s="1"/>
    </row>
    <row r="37" spans="1:11" x14ac:dyDescent="0.3">
      <c r="A37" s="1"/>
      <c r="B37" s="1"/>
      <c r="C37" s="1"/>
      <c r="J37" s="1"/>
      <c r="K37" s="1"/>
    </row>
    <row r="38" spans="1:11" x14ac:dyDescent="0.3">
      <c r="A38" s="1"/>
      <c r="B38" s="1"/>
      <c r="C38" s="1"/>
      <c r="J38" s="1"/>
      <c r="K38" s="1"/>
    </row>
    <row r="39" spans="1:11" x14ac:dyDescent="0.3">
      <c r="A39" s="1"/>
      <c r="C39" s="1"/>
      <c r="J39" s="1"/>
      <c r="K39" s="1"/>
    </row>
    <row r="40" spans="1:11" x14ac:dyDescent="0.3">
      <c r="J40" s="1"/>
      <c r="K40" s="1"/>
    </row>
    <row r="41" spans="1:11" x14ac:dyDescent="0.3">
      <c r="J41" s="1"/>
      <c r="K41" s="1"/>
    </row>
    <row r="42" spans="1:11" x14ac:dyDescent="0.3">
      <c r="J42" s="1"/>
      <c r="K42" s="1"/>
    </row>
    <row r="43" spans="1:11" x14ac:dyDescent="0.3">
      <c r="B43" s="1"/>
      <c r="J43" s="1"/>
      <c r="K43" s="1"/>
    </row>
    <row r="44" spans="1:11" x14ac:dyDescent="0.3">
      <c r="A44" s="1"/>
      <c r="B44" s="1"/>
      <c r="J44" s="1"/>
      <c r="K44" s="1"/>
    </row>
    <row r="45" spans="1:11" x14ac:dyDescent="0.3">
      <c r="A45" s="1"/>
      <c r="B45" s="1"/>
      <c r="J45" s="1"/>
      <c r="K45" s="1"/>
    </row>
    <row r="46" spans="1:11" x14ac:dyDescent="0.3">
      <c r="A46" s="1"/>
      <c r="B46" s="1"/>
      <c r="C46" s="1"/>
      <c r="J46" s="1"/>
    </row>
    <row r="47" spans="1:11" x14ac:dyDescent="0.3">
      <c r="A47" s="1"/>
      <c r="B47" s="1"/>
      <c r="C47" s="1"/>
    </row>
    <row r="48" spans="1:11" x14ac:dyDescent="0.3">
      <c r="A48" s="1"/>
      <c r="B48" s="1"/>
      <c r="C48" s="1"/>
    </row>
    <row r="49" spans="1:3" x14ac:dyDescent="0.3">
      <c r="A49" s="1"/>
      <c r="B49" s="1"/>
      <c r="C49" s="1"/>
    </row>
    <row r="50" spans="1:3" x14ac:dyDescent="0.3">
      <c r="A50" s="1"/>
      <c r="B50" s="1"/>
      <c r="C50" s="1"/>
    </row>
    <row r="51" spans="1:3" x14ac:dyDescent="0.3">
      <c r="A51" s="1"/>
      <c r="B51" s="1"/>
      <c r="C51" s="1"/>
    </row>
    <row r="52" spans="1:3" x14ac:dyDescent="0.3">
      <c r="A52" s="1"/>
      <c r="C5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72054-DDAA-4F38-90E0-D4D06CAF8E33}">
  <sheetPr codeName="Hoja7"/>
  <dimension ref="B2:E10"/>
  <sheetViews>
    <sheetView workbookViewId="0">
      <selection activeCell="E11" sqref="E11"/>
    </sheetView>
  </sheetViews>
  <sheetFormatPr baseColWidth="10" defaultRowHeight="14.4" x14ac:dyDescent="0.3"/>
  <sheetData>
    <row r="2" spans="2:5" x14ac:dyDescent="0.3">
      <c r="B2" t="s">
        <v>71</v>
      </c>
      <c r="C2" t="s">
        <v>70</v>
      </c>
      <c r="D2" t="s">
        <v>80</v>
      </c>
      <c r="E2" t="s">
        <v>82</v>
      </c>
    </row>
    <row r="3" spans="2:5" x14ac:dyDescent="0.3">
      <c r="B3" t="s">
        <v>72</v>
      </c>
      <c r="C3" s="20">
        <v>25000</v>
      </c>
      <c r="D3" s="21">
        <v>45354</v>
      </c>
      <c r="E3" t="s">
        <v>37</v>
      </c>
    </row>
    <row r="4" spans="2:5" x14ac:dyDescent="0.3">
      <c r="B4" t="s">
        <v>73</v>
      </c>
      <c r="C4" s="20">
        <v>16800</v>
      </c>
      <c r="D4" s="21">
        <v>44713</v>
      </c>
      <c r="E4" t="s">
        <v>37</v>
      </c>
    </row>
    <row r="5" spans="2:5" x14ac:dyDescent="0.3">
      <c r="B5" t="s">
        <v>74</v>
      </c>
      <c r="C5" s="20">
        <v>6200</v>
      </c>
      <c r="D5" s="21">
        <v>44291</v>
      </c>
      <c r="E5" t="s">
        <v>37</v>
      </c>
    </row>
    <row r="6" spans="2:5" x14ac:dyDescent="0.3">
      <c r="B6" t="s">
        <v>75</v>
      </c>
      <c r="C6" s="20">
        <v>10000</v>
      </c>
      <c r="D6" s="21">
        <v>43748</v>
      </c>
      <c r="E6" t="s">
        <v>36</v>
      </c>
    </row>
    <row r="7" spans="2:5" x14ac:dyDescent="0.3">
      <c r="B7" t="s">
        <v>76</v>
      </c>
      <c r="C7" s="20">
        <v>24600</v>
      </c>
      <c r="D7" s="21">
        <v>42006</v>
      </c>
      <c r="E7" t="s">
        <v>36</v>
      </c>
    </row>
    <row r="8" spans="2:5" x14ac:dyDescent="0.3">
      <c r="B8" t="s">
        <v>77</v>
      </c>
      <c r="C8" s="20">
        <v>12300</v>
      </c>
      <c r="D8" s="21">
        <v>42403</v>
      </c>
      <c r="E8" t="s">
        <v>35</v>
      </c>
    </row>
    <row r="9" spans="2:5" x14ac:dyDescent="0.3">
      <c r="B9" t="s">
        <v>78</v>
      </c>
      <c r="C9" s="20">
        <v>9900</v>
      </c>
      <c r="D9" s="21">
        <v>42870</v>
      </c>
      <c r="E9" t="s">
        <v>35</v>
      </c>
    </row>
    <row r="10" spans="2:5" x14ac:dyDescent="0.3">
      <c r="B10" t="s">
        <v>79</v>
      </c>
      <c r="C10" s="20">
        <v>10100</v>
      </c>
      <c r="D10" s="21">
        <v>41968</v>
      </c>
      <c r="E10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SIMULADOR NOMINA</vt:lpstr>
      <vt:lpstr>ISR SUBSIDIO</vt:lpstr>
      <vt:lpstr>CUOTAS IMSS</vt:lpstr>
      <vt:lpstr>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david moreno reyes</dc:creator>
  <cp:lastModifiedBy>luis david moreno reyes</cp:lastModifiedBy>
  <cp:lastPrinted>2025-07-02T16:28:20Z</cp:lastPrinted>
  <dcterms:created xsi:type="dcterms:W3CDTF">2025-07-02T16:11:19Z</dcterms:created>
  <dcterms:modified xsi:type="dcterms:W3CDTF">2025-07-16T16:55:32Z</dcterms:modified>
</cp:coreProperties>
</file>